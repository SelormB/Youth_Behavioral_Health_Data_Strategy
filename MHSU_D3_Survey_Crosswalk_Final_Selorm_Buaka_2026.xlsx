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sbuaka\Downloads\"/>
    </mc:Choice>
  </mc:AlternateContent>
  <xr:revisionPtr revIDLastSave="0" documentId="13_ncr:1_{1913AE1E-500B-4B25-9C72-03ACF06F4827}" xr6:coauthVersionLast="47" xr6:coauthVersionMax="47" xr10:uidLastSave="{00000000-0000-0000-0000-000000000000}"/>
  <bookViews>
    <workbookView xWindow="-120" yWindow="-120" windowWidth="29040" windowHeight="15720" tabRatio="500" activeTab="1" xr2:uid="{00000000-000D-0000-FFFF-FFFF00000000}"/>
  </bookViews>
  <sheets>
    <sheet name="1. README - Methodology" sheetId="1" r:id="rId1"/>
    <sheet name="2. Instrument Key" sheetId="2" r:id="rId2"/>
    <sheet name="3. Construct Matrix" sheetId="3" r:id="rId3"/>
    <sheet name="4. Item Detail - All Domains" sheetId="4" r:id="rId4"/>
    <sheet name="5. Gap Analysis" sheetId="5" r:id="rId5"/>
    <sheet name="6. Shared Metric Candidates" sheetId="6" r:id="rId6"/>
    <sheet name="7. District Context" sheetId="7" r:id="rId7"/>
    <sheet name="8a. Adult &amp; Peer Connections" sheetId="8" r:id="rId8"/>
    <sheet name="8b. Belonging Climate Safety" sheetId="9" r:id="rId9"/>
    <sheet name="8c. Mental Health Stress Risk" sheetId="10" r:id="rId10"/>
    <sheet name="8d. SEL Competencies" sheetId="11" r:id="rId11"/>
    <sheet name="8e. Equity Basic Needs" sheetId="12" r:id="rId12"/>
    <sheet name="9. Scale Equivalence" sheetId="13" r:id="rId13"/>
    <sheet name="10. HKCS Baseline 2023" sheetId="14" r:id="rId14"/>
    <sheet name="11. Coverage Dashboard" sheetId="15" r:id="rId15"/>
    <sheet name="12. Verification Notes"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5" i="15" l="1"/>
  <c r="H14" i="15"/>
  <c r="H13" i="15"/>
  <c r="H12" i="15"/>
  <c r="H11" i="15"/>
  <c r="H10" i="15"/>
  <c r="H9" i="15"/>
</calcChain>
</file>

<file path=xl/sharedStrings.xml><?xml version="1.0" encoding="utf-8"?>
<sst xmlns="http://schemas.openxmlformats.org/spreadsheetml/2006/main" count="1985" uniqueCount="740">
  <si>
    <t>MHSU Alliance Survey Crosswalk: Methodology and Coding Key</t>
  </si>
  <si>
    <t>Conceptual, construct-level, and item-level alignment across EPSD, PSD, TSD, and HKCS instruments | BUAKA SELORM  |Summer 2026</t>
  </si>
  <si>
    <t>Purpose &amp; Scope</t>
  </si>
  <si>
    <t>This workbook maps all the youth behavioral health and SEL-related survey items that Estes Park (EPSD), Poudre (PSD), and Thompson (TSD) School Districts currently administer, and compares them against each other and against the Healthy Kids Colorado Survey (HKCS). Every item was pulled directly from a verified source document. This workbook is designed to stand on its own: it includes a gap analysis (Sheet 5), shared metric candidates (Sheet 6), and district demographic context (Sheet 7) so that all findings are in one place.</t>
  </si>
  <si>
    <t>What 'Same Question' Actually Means Here</t>
  </si>
  <si>
    <t>When two survey items look like they are asking the same question, that can be true in a few different ways. The difference matters a lot for whether the resulting numbers can actually be compared, combined, or used as a single shared metric across districts. This crosswalk sorts every match into one of three levels, from loosest to tightest:</t>
  </si>
  <si>
    <t>Conceptual alignment</t>
  </si>
  <si>
    <t>Two items cover the same general topic. For example, both touch on whether a student has a trusted adult at school. This is the loosest level. It is useful for organizing the crosswalk and seeing the big picture, but it does not tell you whether the actual numbers from each instrument can be compared.</t>
  </si>
  <si>
    <t>Construct-level alignment</t>
  </si>
  <si>
    <t>Two items are measuring the same underlying thing, even though the wording, scope, or answer choices are different. This is where most of the real matches in this crosswalk land. The percentages each instrument produces are not interchangeable. Differences in wording and response scales can shift how students answer, sometimes by a lot. These should be treated as separate indicators pointing at the same idea, not as one shared number.</t>
  </si>
  <si>
    <t>Item-level alignment</t>
  </si>
  <si>
    <t>Two items use the same wording AND the same response scale. This is the only level where two percentages can be directly compared, averaged, or placed on the same trend line, because the measurement itself is identical. It is rare. Across all 37 constructs in this crosswalk, only the stress manageability item comes close, and even there the response scale differs (see Sheet 9 for what that means in practice).</t>
  </si>
  <si>
    <t>Alignment Codes (color-coded throughout workbook)</t>
  </si>
  <si>
    <t>Code</t>
  </si>
  <si>
    <t>Definition</t>
  </si>
  <si>
    <t>V</t>
  </si>
  <si>
    <t>Same wording AND same response scale. Numbers from these items can be directly compared, combined, or placed on the same trend line. This is the standard a true shared metric needs to meet.</t>
  </si>
  <si>
    <t>W</t>
  </si>
  <si>
    <t>Same or nearly the same wording, but different response scales. For example, one instrument uses Yes/No and another uses a 5-point agreement scale. The items are asking the same question, but the resulting numbers cannot be combined or compared without a clear conversion rule. See Sheet 9.</t>
  </si>
  <si>
    <t>C</t>
  </si>
  <si>
    <t>Different wording, scope, or format, but both items are measuring the same underlying idea. Useful for showing where districts are already covering similar ground. Each instrument's number should still be treated as its own separate indicator, not swapped in for another.</t>
  </si>
  <si>
    <t>R</t>
  </si>
  <si>
    <t>Same general topic area but actually asking about different things. For example, one item asks about a student's own personal experience and another asks how common something seems at the school overall. Good for context, not for direct comparison.</t>
  </si>
  <si>
    <t>-</t>
  </si>
  <si>
    <t>This instrument does not measure this construct.</t>
  </si>
  <si>
    <t>Response Scale Codes</t>
  </si>
  <si>
    <t>B2</t>
  </si>
  <si>
    <t>Binary (Yes / No)</t>
  </si>
  <si>
    <t>B3</t>
  </si>
  <si>
    <t>Three-category (Yes / No / Not sure)</t>
  </si>
  <si>
    <t>L4</t>
  </si>
  <si>
    <t>Four-point ordinal (anchors vary by item - see item text)</t>
  </si>
  <si>
    <t>L5A</t>
  </si>
  <si>
    <t>Five-point agreement (Strongly Agree → Strongly Disagree)</t>
  </si>
  <si>
    <t>L5F</t>
  </si>
  <si>
    <t>Five-point frequency (e.g., Always → Never)</t>
  </si>
  <si>
    <t>L5I</t>
  </si>
  <si>
    <t>Five-point intensity/magnitude (e.g., Not at all [X] → Completely [X])</t>
  </si>
  <si>
    <t>MS</t>
  </si>
  <si>
    <t>Multi-select (select all that apply)</t>
  </si>
  <si>
    <t>CNT</t>
  </si>
  <si>
    <t>Count category (0 / 1 / 2-3 / 4-5 / 6 or more)</t>
  </si>
  <si>
    <t>OE</t>
  </si>
  <si>
    <t>Open-ended text</t>
  </si>
  <si>
    <t>Sheet Map</t>
  </si>
  <si>
    <t>2. Instrument Key</t>
  </si>
  <si>
    <t>Details on each survey instrument including grades, anonymity, and confirmed administration timing.</t>
  </si>
  <si>
    <t>3. Construct Matrix</t>
  </si>
  <si>
    <t>Master overview: one row per construct, one column per instrument, color-coded by alignment code.</t>
  </si>
  <si>
    <t>4. Item Detail (all domains)</t>
  </si>
  <si>
    <t>Full verbatim item text, response scales, and alignment notes for every item in the crosswalk.</t>
  </si>
  <si>
    <t>5. Gap Analysis</t>
  </si>
  <si>
    <t>Prioritized gaps by severity (Critical / High / Medium / Low) with HKCS verified baselines and recommended actions.</t>
  </si>
  <si>
    <t>6. Shared Metric Candidates</t>
  </si>
  <si>
    <t>Nine specific survey items recommended as shared metrics, with baselines, district coverage, and scale compatibility notes.</t>
  </si>
  <si>
    <t>7. District Context</t>
  </si>
  <si>
    <t>Demographic and accountability data for EPSD, PSD, and TSD providing context for all recommendations.</t>
  </si>
  <si>
    <t>8. Domain Item Detail (3-7)</t>
  </si>
  <si>
    <t>Five domain-specific sheets with full item text (Adult &amp; Peer Connections; Belonging/Climate/Safety; Mental Health/Stress/Risk; SEL Competencies; Equity/Basic Needs).</t>
  </si>
  <si>
    <t>9. Scale Equivalence</t>
  </si>
  <si>
    <t>Five cases where wording matches across instruments but response scales differ, with harmonization recommendations.</t>
  </si>
  <si>
    <t>10. HKCS Baseline 2023</t>
  </si>
  <si>
    <t>Verified 2023 HKCS Region 2 rates, 95% CIs, equity disaggregations, and trend data for all relevant constructs.</t>
  </si>
  <si>
    <t>11. Coverage Dashboard</t>
  </si>
  <si>
    <t>Summary counts of alignment codes per instrument across all 37 constructs, with stacked-bar visualization.</t>
  </si>
  <si>
    <t>12. Verification Notes</t>
  </si>
  <si>
    <t>Documents the source verification process, 11 verification findings, open items pending confirmation, and methodological decisions made during crosswalk development.</t>
  </si>
  <si>
    <t>Instrument Key</t>
  </si>
  <si>
    <t>All survey instruments included in this crosswalk.</t>
  </si>
  <si>
    <t>Short Label</t>
  </si>
  <si>
    <t>Full Instrument Name</t>
  </si>
  <si>
    <t>Grades</t>
  </si>
  <si>
    <t>Anon.</t>
  </si>
  <si>
    <t>Administration Timing</t>
  </si>
  <si>
    <t>Additional Notes</t>
  </si>
  <si>
    <t>HKCS 2025 (HS)</t>
  </si>
  <si>
    <t>2025 Healthy Kids Colorado Survey - High School (Thompson SD administration; statewide standard instrument)</t>
  </si>
  <si>
    <t>9-12</t>
  </si>
  <si>
    <t>Yes</t>
  </si>
  <si>
    <t>Structurally near-identical to the 2023 HKCS Region 2 instrument used for the county baseline (Sheet 9). Serves as the alignment anchor for this crosswalk. The 2023 Region 2 Report (n=5,034) is the primary verified data source for all gap severity ratings in Sheet 5.</t>
  </si>
  <si>
    <t>EPSD Panorama SEL</t>
  </si>
  <si>
    <t>Panorama SEL: Student Competency &amp; Well-Being Measures (EPSD; 14-item version verified)</t>
  </si>
  <si>
    <t>K-12</t>
  </si>
  <si>
    <t>A 17-item version was referenced in a forwarded email with three additional 'can be yourself around...' items (Q14-16); exact wording unverified - see Verification Note #1. The 14-item version is the only one with verified item text.</t>
  </si>
  <si>
    <t>EPSD CO-SPS (Elem.)</t>
  </si>
  <si>
    <t>Colorado Student Perception Survey, Elementary (EPES 25-26)</t>
  </si>
  <si>
    <t>Elementary</t>
  </si>
  <si>
    <t>Not confirmed. Shelley's Panorama inference does not extend to CO-SPS, which is a separate instrument. Health District following up with EPSD.</t>
  </si>
  <si>
    <t>30 items, classroom/teacher-focused. 4-point scale: Never / Some of the time / Most of the time / Always. Item 1 uses a frequency-of-class scale not relevant to this crosswalk.</t>
  </si>
  <si>
    <t>EPSD CO-SPS (HS)</t>
  </si>
  <si>
    <t>Colorado Student Perception Survey, High School (EPHS 25-26)</t>
  </si>
  <si>
    <t>High School</t>
  </si>
  <si>
    <t>Not confirmed. Same caveat as EPES above.</t>
  </si>
  <si>
    <t>21 items, same 4-point scale family as EPES.</t>
  </si>
  <si>
    <t>PSD Connections (Sec.)</t>
  </si>
  <si>
    <t>PSD Student Connections Check-In, Secondary version</t>
  </si>
  <si>
    <t>Grades 4-12 (district-wide; this version verified for secondary)</t>
  </si>
  <si>
    <t>No - linked to individual student</t>
  </si>
  <si>
    <t>Approximately 8 weeks after the start of the school year. Source: PSD Connections Survey program page, confirmed via Health District, June 2026.</t>
  </si>
  <si>
    <t>53 items across Sections A-F. Section F = 5 SEL subscales (Q22-26). NOT anonymous - responses linked to individual students and accessible to PSD staff. This affects how openly students may respond on sensitive topics. See Verification Note #11 re: item-to-subscale grouping in PSD's internal item bank.</t>
  </si>
  <si>
    <t>PSD Connections (Elem.)</t>
  </si>
  <si>
    <t>PSD Student Connections Check-In, Elementary version</t>
  </si>
  <si>
    <t>Approximately 8 weeks after the start of the school year. Same schedule as Secondary version.</t>
  </si>
  <si>
    <t>47 items. Sections A-D identical in content/numbering to Secondary version except Section D Q16 (see Verification Note #2). Section E shorter (no ICAP items). Section F = same 5 SEL subscales, renumbered Q19-23. NOT anonymous.</t>
  </si>
  <si>
    <t>TSD Panorama SEL (S&amp;E)</t>
  </si>
  <si>
    <t>Panorama SEL Supports &amp; Environments, Fall 2025 (TSD; Grades 6-12)</t>
  </si>
  <si>
    <t>6-12</t>
  </si>
  <si>
    <t>Full bank administered district-wide every fall. Teacher-Student Relationships and Sense of Belonging administered a second time each spring. Individual school-level progress monitoring also occurs but not available for broader public release. Confirmed: Jennifer Guthals, Director of Student Success, TSD, email June 30 2026.</t>
  </si>
  <si>
    <t>16 items, each on its own 5-point intensity/frequency scale (anchors vary by item). TSD also administers the HKCS separately (see HKCS column).</t>
  </si>
  <si>
    <t>Construct Crosswalk Matrix</t>
  </si>
  <si>
    <t>One row per construct, one column per instrument. Cell = Item Ref [Scale·Align]. See Sheet 1 for code definitions.</t>
  </si>
  <si>
    <t>Domain</t>
  </si>
  <si>
    <t>Construct</t>
  </si>
  <si>
    <t>Adult &amp; Peer Connections</t>
  </si>
  <si>
    <t>Trusted adult - in-school ("talk about what's bothering me")</t>
  </si>
  <si>
    <t>Q28
[B3·C]</t>
  </si>
  <si>
    <t>Q11
[B2·C]</t>
  </si>
  <si>
    <t>A.2a
[B2·V]</t>
  </si>
  <si>
    <t>Trusted adult - broad, in-or-out-of-school [HKCS T39 canonical]</t>
  </si>
  <si>
    <t>Q28
[B3·V]</t>
  </si>
  <si>
    <t>Trusted adult - outside school</t>
  </si>
  <si>
    <t>Q12
[B2·C]</t>
  </si>
  <si>
    <t>Trusted friend / peer support</t>
  </si>
  <si>
    <t>Q29
[L5F·C]</t>
  </si>
  <si>
    <t>Q13
[B2·C]</t>
  </si>
  <si>
    <t>B.8b
[B2·C]</t>
  </si>
  <si>
    <t>Teacher/adult notices distress</t>
  </si>
  <si>
    <t>Q20
[L4·C]</t>
  </si>
  <si>
    <t>Q2
[L5I·C]</t>
  </si>
  <si>
    <t>Teacher/adult cares (emotional support)</t>
  </si>
  <si>
    <t>Q18
[L4·V]</t>
  </si>
  <si>
    <t>Q13
[L4·V]</t>
  </si>
  <si>
    <t>A.3b
[B2·C]</t>
  </si>
  <si>
    <t>Adults intervene when student is picked on</t>
  </si>
  <si>
    <t>A.2e
[B2·C]</t>
  </si>
  <si>
    <t>Q9
[L5I·C]</t>
  </si>
  <si>
    <t>Family / cultural welcome at school</t>
  </si>
  <si>
    <t>Adult listens to / respects student's input</t>
  </si>
  <si>
    <t>Q10
[L4·C]</t>
  </si>
  <si>
    <t>A.3a
[B2·C]</t>
  </si>
  <si>
    <t>Q3
[L5F·C]</t>
  </si>
  <si>
    <t>Belonging, Climate &amp; Safety</t>
  </si>
  <si>
    <t>Belonging - school-level</t>
  </si>
  <si>
    <t>Q74
[L5A·W]</t>
  </si>
  <si>
    <t>B.8g
[B2·W]</t>
  </si>
  <si>
    <t>Q14
[L5I·W]</t>
  </si>
  <si>
    <t>Belonging - classroom-level</t>
  </si>
  <si>
    <t>Q26
[L4·V]</t>
  </si>
  <si>
    <t>Q20
[L4·V]</t>
  </si>
  <si>
    <t>Sense of fitting in (classroom)</t>
  </si>
  <si>
    <t>Q25
[L4·R]</t>
  </si>
  <si>
    <t>School safety - physical</t>
  </si>
  <si>
    <t>Q80a
[L4·W]</t>
  </si>
  <si>
    <t>D.15c
[B2·W]</t>
  </si>
  <si>
    <t>Q16
[L5I·W]</t>
  </si>
  <si>
    <t>Feel safe to express identity</t>
  </si>
  <si>
    <t>B.8i
[B2·C]</t>
  </si>
  <si>
    <t>Q11
[L5I·C]</t>
  </si>
  <si>
    <t>Cultural respect / respect for differences</t>
  </si>
  <si>
    <t>Q24
[L4·C]</t>
  </si>
  <si>
    <t>Q18,Q19
[L4·C]</t>
  </si>
  <si>
    <t>Perceived bullying climate / personal bullying experience</t>
  </si>
  <si>
    <t>Q14-16
[MS/B2·C]</t>
  </si>
  <si>
    <t>Q5,Q7
[L5F/L5I·C]</t>
  </si>
  <si>
    <t>School enjoyment / engagement</t>
  </si>
  <si>
    <t>Q75
[L5F·C]</t>
  </si>
  <si>
    <t>Q4
[L5I·C]</t>
  </si>
  <si>
    <t>Mental Health, Stress &amp; Risk</t>
  </si>
  <si>
    <t>Persistent sadness / hopelessness ; PRIMARY METRIC CANDIDATE</t>
  </si>
  <si>
    <t>Q24
[B2·V]</t>
  </si>
  <si>
    <t>Suicidal ideation ; CRITICAL GAP</t>
  </si>
  <si>
    <t>Q25
[B2·V]</t>
  </si>
  <si>
    <t>Suicide plan ; CRITICAL GAP</t>
  </si>
  <si>
    <t>Q26
[B2·V]</t>
  </si>
  <si>
    <t>Suicide attempts ; CRITICAL GAP</t>
  </si>
  <si>
    <t>Q27
[CNT·V]</t>
  </si>
  <si>
    <t>Deliberate self-harm ; CRITICAL GAP</t>
  </si>
  <si>
    <t>Q23
[B2·V]</t>
  </si>
  <si>
    <t>Poor mental health frequency (past 30 days)</t>
  </si>
  <si>
    <t>Q22
[L5F·V]</t>
  </si>
  <si>
    <t>Stress manageability ; SCALE MISMATCH</t>
  </si>
  <si>
    <t>Q21
[L5A·W]</t>
  </si>
  <si>
    <t>D.15b
[B2·W]</t>
  </si>
  <si>
    <t>Help-seeking self-efficacy ("know how to reach out")</t>
  </si>
  <si>
    <t>Q31
[MS·C]</t>
  </si>
  <si>
    <t>D.16
[B2·C]</t>
  </si>
  <si>
    <t>Awareness of mental health services</t>
  </si>
  <si>
    <t>Friend disclosed suicidal thoughts (postvention-relevant)</t>
  </si>
  <si>
    <t>SEL Competencies</t>
  </si>
  <si>
    <t>Self-Awareness</t>
  </si>
  <si>
    <t>Q6-10
[L5F/L5I·C]</t>
  </si>
  <si>
    <t>F.22 (Sec) / F.19 (Elem)
[L4·C]</t>
  </si>
  <si>
    <t>Self-Management</t>
  </si>
  <si>
    <t>Q7,Q9
[L5F/L5I·C]</t>
  </si>
  <si>
    <t>F.23 (Sec) / F.20 (Elem)
[L4·C]</t>
  </si>
  <si>
    <t>Social Awareness</t>
  </si>
  <si>
    <t>Relationship Skills</t>
  </si>
  <si>
    <t>F.25 (Sec) / F.22 (Elem)
[L4·C]</t>
  </si>
  <si>
    <t>Responsible Decision-Making</t>
  </si>
  <si>
    <t>F.26 (Sec) / F.23 (Elem)
[L4·C]</t>
  </si>
  <si>
    <t>Academic effort / engagement</t>
  </si>
  <si>
    <t>Equity, Basic Needs &amp; Future Planning</t>
  </si>
  <si>
    <t>Experiences of racism ; EQUITY SUPPLEMENT - CRITICAL</t>
  </si>
  <si>
    <t>Q32
[MS·V]</t>
  </si>
  <si>
    <t>Food security</t>
  </si>
  <si>
    <t>Q65
[L5F·C]</t>
  </si>
  <si>
    <t>D.15a
[B2·C]</t>
  </si>
  <si>
    <t>Future planning support</t>
  </si>
  <si>
    <t>Q79
[L4-table·C]</t>
  </si>
  <si>
    <t>E.18,E.19,E.21
[MS/B3/B2-OE·C]</t>
  </si>
  <si>
    <t>E.18
[MS·C]</t>
  </si>
  <si>
    <t>Disability status (demographic / MTSS context)</t>
  </si>
  <si>
    <t>Item Detail: All Domains</t>
  </si>
  <si>
    <t>Item text and response scales for every instrument that measures each construct.</t>
  </si>
  <si>
    <t>HKCS Table</t>
  </si>
  <si>
    <t>Instrument</t>
  </si>
  <si>
    <t>Item Ref</t>
  </si>
  <si>
    <t>Verbatim Item Text / Description</t>
  </si>
  <si>
    <t>Scale Code</t>
  </si>
  <si>
    <t>Scale Description</t>
  </si>
  <si>
    <t>Align.</t>
  </si>
  <si>
    <t>Verification Note</t>
  </si>
  <si>
    <t>T39 (see Verification Note #3)</t>
  </si>
  <si>
    <t>Q28</t>
  </si>
  <si>
    <t>If you had a serious problem, do you know an adult in or out of school who you could talk to or go to for help? (Yes / No / Not sure)</t>
  </si>
  <si>
    <t>The wording 'There is an adult at my school I can talk to about things that are bothering me' is PSD's own item (A.2a), not HKCS T39 verbatim. HKCS Q28 is broader (in OR out of school), uses different severity framing ('serious problem' vs. 'things that are bothering me'), and has a 3-point rather than 2-point scale. See Verification Note #3.</t>
  </si>
  <si>
    <t>Q11</t>
  </si>
  <si>
    <t>Do you have a teacher or other adult from school who you can count on to help you, no matter what? (Yes / No)</t>
  </si>
  <si>
    <t>A.2a</t>
  </si>
  <si>
    <t>There is an adult at my school I can talk to about things that are bothering me. (Yes / No)</t>
  </si>
  <si>
    <t>T39</t>
  </si>
  <si>
    <t>No district instrument currently asks this broader in-or-out-of-school framing directly. EPSD Panorama Q12 covers only the outside-school component (next row).</t>
  </si>
  <si>
    <t>No direct HKCS item (outside-school component of T39 only)</t>
  </si>
  <si>
    <t>Q12</t>
  </si>
  <si>
    <t>Do you have a family member or other adult outside of school who you can count on to help you, no matter what? (Yes / No)</t>
  </si>
  <si>
    <t>Covers the outside-school component of HKCS Q28/T39 but as a standalone binary item.</t>
  </si>
  <si>
    <t>(related to T39 / peer items)</t>
  </si>
  <si>
    <t>Q29</t>
  </si>
  <si>
    <t>During your life, how often have you felt that you were able to talk to a friend about your feelings? (Always / Most of the time / Sometimes / Rarely / Never)</t>
  </si>
  <si>
    <t>All four items target peer support but differ in framing (lifetime frequency vs. binary 'can count on') and scale.</t>
  </si>
  <si>
    <t>Q13</t>
  </si>
  <si>
    <t>Do you have a friend from school who you can count on to help you, no matter what? (Yes / No)</t>
  </si>
  <si>
    <t>B.8b</t>
  </si>
  <si>
    <t>My friends try to help me when I need help. (Yes / No)</t>
  </si>
  <si>
    <t>No direct HKCS analog</t>
  </si>
  <si>
    <t>Q20</t>
  </si>
  <si>
    <t>My teacher would notice if something was bothering me. (Never / Some of the time / Most of the time / Always)</t>
  </si>
  <si>
    <t>'Would notice' (EPSD) and 'how concerned would they be' (TSD) are related but distinct facets: detection vs. expected response.</t>
  </si>
  <si>
    <t>Q2</t>
  </si>
  <si>
    <t>If you were upset when you came into class, how concerned would your teachers be? (Not at all concerned → Extremely concerned)</t>
  </si>
  <si>
    <t>Q18</t>
  </si>
  <si>
    <t>My teacher cares about me. (Never / Some of the time / Most of the time / Always)</t>
  </si>
  <si>
    <t>EPES and EPHS use identical wording and scale (V to each other). PSD targets same construct but binary scale (C).</t>
  </si>
  <si>
    <t>A.3b</t>
  </si>
  <si>
    <t>Care about me. (Yes / No) [stem: 'My teachers and other adults in the school...']</t>
  </si>
  <si>
    <t>A.2e</t>
  </si>
  <si>
    <t>When adults at the school see someone being picked on, they try to stop it. (Yes / No)</t>
  </si>
  <si>
    <t>PSD asks directly whether adults intervene; TSD asks inversely how hard it is to get help. Same protective-factor construct, opposite framing.</t>
  </si>
  <si>
    <t>Q9</t>
  </si>
  <si>
    <t>If a student is bullied in school, how difficult is it for him/her to get help from an adult? (Not at all difficult → Extremely difficult) [inverse framing]</t>
  </si>
  <si>
    <t>A.2f</t>
  </si>
  <si>
    <t>Families like mine feel welcomed by the teachers and other adults at my school. (Yes / No)</t>
  </si>
  <si>
    <t>PSD-only item. Directly relevant given EPSD's 22.2% Multilingual Learner rate and PSD's bilingual family base. No HKCS or EPSD/TSD analog identified.</t>
  </si>
  <si>
    <t>Q10</t>
  </si>
  <si>
    <t>My teacher respects my opinions and suggestions. (Never / Some of the time / Most of the time / Always)</t>
  </si>
  <si>
    <t>'Respects my opinions' (EPHS), 'listen to me' (PSD), and 'want to know your answer' (TSD) are related but distinct facets of feeling heard. During source verification, the item wording 'My teacher listens to my ideas' was checked against both EPSD CO-SPS forms and does not appear verbatim in either the Elementary or High School versions.</t>
  </si>
  <si>
    <t>A.3a</t>
  </si>
  <si>
    <t>Listen to me. (Yes / No) [stem: 'My teachers and other adults in the school...']</t>
  </si>
  <si>
    <t>Q3</t>
  </si>
  <si>
    <t>When your teachers ask, 'How are you?', how often do you feel they really want to know your answer? (Almost never → Almost always)</t>
  </si>
  <si>
    <t>T144</t>
  </si>
  <si>
    <t>Q74</t>
  </si>
  <si>
    <t>Do you agree or disagree that you feel like you belong at your school? (Strongly agree / Agree / Not sure / Disagree / Strongly disagree)</t>
  </si>
  <si>
    <t>THREE-SCALE PROBLEM: HKCS = 5-point agreement, PSD = binary, TSD = 5-point intensity. TSD administers this item twice per year (fall and spring), uniquely positioning TSD for within-year change detection. Results not poolable across instruments. See Sheet 8, Case B.</t>
  </si>
  <si>
    <t>B.8g</t>
  </si>
  <si>
    <t>I have a sense of 'belonging' when I am at school. (Yes / No)</t>
  </si>
  <si>
    <t>Q14</t>
  </si>
  <si>
    <t>When you are at school, how much do you feel like you belong? (Do not belong at all → Completely belong) [administered fall AND spring - confirmed Jennifer Guthals, TSD, June 2026]</t>
  </si>
  <si>
    <t>No HKCS analog at classroom level</t>
  </si>
  <si>
    <t>Q26</t>
  </si>
  <si>
    <t>I feel like an important part of my classroom community. (Never / Some of the time / Most of the time / Always)</t>
  </si>
  <si>
    <t>EPES and EPHS near-identical wording and same scale (V to each other). Narrower than school-level belonging - do not merge these rows.</t>
  </si>
  <si>
    <t>I feel like an important part of this classroom community. (Never / Some of the time / Most of the time / Always)</t>
  </si>
  <si>
    <t>(related to classroom belonging - EPES only)</t>
  </si>
  <si>
    <t>Q25</t>
  </si>
  <si>
    <t>In this class, I feel like I fit in. (Never / Some of the time / Most of the time / Always)</t>
  </si>
  <si>
    <t>EPES-only. 'Fit in' and 'important part of' are distinguishable facets of belonging.</t>
  </si>
  <si>
    <t>T154</t>
  </si>
  <si>
    <t>Q80a</t>
  </si>
  <si>
    <t>I feel safe at my school. (Definitely / Usually / Not often / Definitely not)</t>
  </si>
  <si>
    <t>THREE-SCALE PROBLEM. TSD administers twice per year. EPSD has no safety item at all (confirmed gap). See Sheet 8, Case C.</t>
  </si>
  <si>
    <t>D.15c</t>
  </si>
  <si>
    <t>I feel safe at school. (Yes / No)</t>
  </si>
  <si>
    <t>Q16</t>
  </si>
  <si>
    <t>Overall, how safe do you feel at your school? (Not at all safe → Completely safe) [administered fall AND spring - confirmed Jennifer Guthals, TSD, June 2026]</t>
  </si>
  <si>
    <t>No direct HKCS analog identified</t>
  </si>
  <si>
    <t>B.8i</t>
  </si>
  <si>
    <t>I feel safe to express who I am at my school. (Yes / No)</t>
  </si>
  <si>
    <t>PSD asks about safety to be oneself; TSD asks about being understood. Related identity-affirmation constructs, not interchangeable. EPSD 17-item Panorama may include a parallel item (Verification Note #1) but wording unverified.</t>
  </si>
  <si>
    <t>How well do people at your school understand the kind of person you are? (Do not understand at all → Completely understand)</t>
  </si>
  <si>
    <t>No direct HKCS item (see T48 in Domain 5)</t>
  </si>
  <si>
    <t>Q24</t>
  </si>
  <si>
    <t>My teacher teaches us to respect people's differences. (Never / Some of the time / Most of the time / Always)</t>
  </si>
  <si>
    <t>EPSD CO-SPS items positively framed (teacher promotes respect); HKCS T48 items negatively framed (personal racism experience). Both equity-relevant but different constructs.</t>
  </si>
  <si>
    <t>Q18,Q19</t>
  </si>
  <si>
    <t>Q18: My teacher respects my cultural background. Q19: Students in this class respect each other's differences. (Never / Some of the time / Most of the time / Always)</t>
  </si>
  <si>
    <t>Q14-16 (not separately tabled)</t>
  </si>
  <si>
    <t>Q14-16</t>
  </si>
  <si>
    <t>Q14: locations bullied on school property past 12 months (MS). Q15: electronically bullied past 12 months (Yes/No). Q16: bullied due to race, ethnicity/national origin, sexual orientation, gender identity, religion, disability, or appearance (MS).</t>
  </si>
  <si>
    <t>MS/B2</t>
  </si>
  <si>
    <t>See item text</t>
  </si>
  <si>
    <t>HKCS measures personal bullying experience including identity-based bullying. TSD measures perceived climate/likelihood - a different facet.</t>
  </si>
  <si>
    <t>Q5,Q7</t>
  </si>
  <si>
    <t>Q5: How often are people disrespectful to others at your school? (Almost never → Almost always). Q7: How likely is it that someone from your school will bully you online? (Not at all likely → Extremely likely)</t>
  </si>
  <si>
    <t>L5F/L5I</t>
  </si>
  <si>
    <t>No T-number identified</t>
  </si>
  <si>
    <t>Q75</t>
  </si>
  <si>
    <t>Thinking back on the past year in school, how often did you enjoy being in school? (Always / Most of the time / Sometimes / Rarely / Never)</t>
  </si>
  <si>
    <t>Both relate to positive engagement with school but are different facets: general enjoyment (HKCS) vs. desire for relationship continuity (TSD).</t>
  </si>
  <si>
    <t>Q4</t>
  </si>
  <si>
    <t>How excited would you be if you could have your same teachers in the next grade too? (Not at all excited → Extremely excited)</t>
  </si>
  <si>
    <t>T35</t>
  </si>
  <si>
    <t>During the past 12 months, did you ever feel so sad or hopeless almost every day for two weeks or more in a row that you stopped doing some usual activities? (Yes / No)</t>
  </si>
  <si>
    <t>CRITICAL GAP: no district instrument measures this construct. 2023 county rate 25.2%; transgender rate 66.4%. Longest trend line in the HKCS (2019, 2021, 2023). Strongest candidate for a primary shared metric. See Sheet 6.</t>
  </si>
  <si>
    <t>Not measured</t>
  </si>
  <si>
    <t>T36</t>
  </si>
  <si>
    <t>During the past 12 months, did you ever seriously consider attempting suicide? (Yes / No)</t>
  </si>
  <si>
    <t>Critical gap across all three districts. 11.9% county rate; transgender 50.0%.</t>
  </si>
  <si>
    <t>T37</t>
  </si>
  <si>
    <t>During the past 12 months, did you make a plan about how you would attempt suicide? (Yes / No)</t>
  </si>
  <si>
    <t>Critical gap across all three districts. 9.9% county rate; transgender 39.7%.</t>
  </si>
  <si>
    <t>T38</t>
  </si>
  <si>
    <t>Q27</t>
  </si>
  <si>
    <t>During the past 12 months, how many times did you actually attempt suicide? (0 / 1 / 2-3 / 4-5 / 6 or more times)</t>
  </si>
  <si>
    <t>Critical gap across all three districts. 5.4% county rate; transgender 17.3%; Hispanic/Latino 7.0% vs. White 4.5%.</t>
  </si>
  <si>
    <t>T34</t>
  </si>
  <si>
    <t>Q23</t>
  </si>
  <si>
    <t>During the past 12 months, did you do something to purposely hurt yourself without wanting to die, such as cutting or burning yourself on purpose? (Yes / No)</t>
  </si>
  <si>
    <t>Critical gap across all three districts. 15.1% county rate; transgender 53.2%.</t>
  </si>
  <si>
    <t>T33</t>
  </si>
  <si>
    <t>Q22</t>
  </si>
  <si>
    <t>During the past 30 days, how often was your mental health not good? (Poor mental health includes stress, anxiety, and depression.) (Always / Most of the time / Sometimes / Rarely / Never)</t>
  </si>
  <si>
    <t>Gap across all three districts. 25.4% county rate; transgender 64.4%; nonbinary 58.6%.</t>
  </si>
  <si>
    <t>Stress manageability ⚠ SCALE MISMATCH</t>
  </si>
  <si>
    <t>T32</t>
  </si>
  <si>
    <t>Q21</t>
  </si>
  <si>
    <t>My stress level is manageable most days. (Strongly agree / Agree / Not sure / Disagree / Strongly disagree)</t>
  </si>
  <si>
    <t>Wording IDENTICAL between HKCS Q21 and PSD D.15b but response scales differ (5-point agreement vs. binary). NOT directly poolable without a conversion rule. See Sheet 8, Case A and Verification Note #4.</t>
  </si>
  <si>
    <t>D.15b</t>
  </si>
  <si>
    <t>My stress level is manageable most days. (Yes / No)</t>
  </si>
  <si>
    <t>(related to T43 - Verification Note #10)</t>
  </si>
  <si>
    <t>Q31</t>
  </si>
  <si>
    <t>In the event that you were concerned about your own or someone else's well-being or mental health, which of the following actions would you take? (Select all that apply: tell parents/guardian; tell adult in school; tell a friend; submit anonymous report e.g. Safe2Tell; contact crisis/help line e.g. 988; none)</t>
  </si>
  <si>
    <t>GRADE-BAND DISCREPANCY (Verification Note #2): PSD Elementary D.16 = help-seeking self-efficacy. PSD Secondary D.16 = service awareness (different construct, next row). HKCS Q31 is multi-select list of actions, not a self-efficacy item.</t>
  </si>
  <si>
    <t>D.16</t>
  </si>
  <si>
    <t>Do you know how to reach out for help if you have big feelings and need to talk to someone? (Yes / No)</t>
  </si>
  <si>
    <t>Are you aware of mental health services available to you? (ex. School counseling, peer counseling, local &amp; national mental health support services) (Yes / No)</t>
  </si>
  <si>
    <t>PSD Secondary D.16 only. DIFFERENT construct from PSD Elementary D.16 despite sharing item number. See Verification Note #2.</t>
  </si>
  <si>
    <t>Q30</t>
  </si>
  <si>
    <t>During the past 12 months, how many times has a friend told you they had thoughts of suicide? (0 / 1 / 2-3 / 4-5 / 6 or more times)</t>
  </si>
  <si>
    <t>Not currently part of the shared metric candidate set. Flagged as a potential postvention/peer-support indicator for future consideration.</t>
  </si>
  <si>
    <t>No HKCS analog (related to stress/MH items)</t>
  </si>
  <si>
    <t>Q6-10</t>
  </si>
  <si>
    <t>'Feelings in General' subscale: pull self out of bad mood; control emotions when needed; get self to relax when upset; stay calm when things go wrong; stop to think before acting (each on its own 5-point scale).</t>
  </si>
  <si>
    <t>Item (c) 'know how to identify and change my negative thoughts' is the weakest-scoring item in the PSD 2025 data at 62.3%.</t>
  </si>
  <si>
    <t>F.22 (Sec) / F.19 (Elem)</t>
  </si>
  <si>
    <t>a) I am good at identifying and understanding my feelings. b) I know how to calm down when I am stressed out or upset. c) I know how to identify and change my negative thoughts. d) I know how to figure out if my negative thoughts are realistic. (NO Never / Sometimes / YES Often / YES Always)</t>
  </si>
  <si>
    <t>Same 4 items as PSD Secondary, renumbered F.19 in the Elementary instrument.</t>
  </si>
  <si>
    <t>No HKCS analog</t>
  </si>
  <si>
    <t>Q7,Q9</t>
  </si>
  <si>
    <t>'Feelings in General' items: how often able to control emotions when needed; how calm when things go wrong.</t>
  </si>
  <si>
    <t>Source-verified against the full PSD Connections Secondary and Elementary instruments and confirmed against item-bank images. Verified items are: disagree without fighting, stay in control when angry, stay calm during a problem or argument, understand others' point of view. Phrases such as 'calm others down' and 'manage time' do not appear in the verified instrument.</t>
  </si>
  <si>
    <t>F.23 (Sec) / F.20 (Elem)</t>
  </si>
  <si>
    <t>a) I can disagree with other people without fighting or arguing. b) I stay in control when I get angry. c) I stay calm when there is a problem or an argument. d) I am good at understanding the point of view of other people. (NO Never / Sometimes / YES Often / YES Always)</t>
  </si>
  <si>
    <t>Same 4 items as PSD Secondary, renumbered F.20 in the Elementary instrument.</t>
  </si>
  <si>
    <t>F.24 (Sec) / F.21 (Elem)</t>
  </si>
  <si>
    <t>a) I care what happens to other people. b) I try to help other people when they need help. c) I am a good listener when other people have something to say. d) I try to understand how my friends feel when they are upset. e) I understand how people could feel different about the same thing. (NO Never / Sometimes / YES Often / YES Always)</t>
  </si>
  <si>
    <t>Source-verified against the full PSD Connections Secondary and Elementary instruments. No close analog identified in EPSD or TSD instruments.</t>
  </si>
  <si>
    <t>Same 5 items as PSD Secondary, renumbered F.21 in the Elementary instrument.</t>
  </si>
  <si>
    <t>(item d relates to belonging - Domain 2)</t>
  </si>
  <si>
    <t>F.25 (Sec) / F.22 (Elem)</t>
  </si>
  <si>
    <t>a) I make friends easily. b) I am comfortable talking to lots of different people. c) I am good at starting a conversation. d) I feel accepted and comfortable at school. (NO Never / Sometimes / YES Often / YES Always)</t>
  </si>
  <si>
    <t>Source-verified against the full PSD Connections Secondary and Elementary instruments. Verified items are: make friends easily, comfortable talking to lots of different people, good at starting a conversation, feel accepted and comfortable at school. Item (d) 'feel accepted and comfortable at school' overlaps conceptually with belonging constructs in Domain 2.</t>
  </si>
  <si>
    <t>Same 4 items as PSD Secondary, renumbered F.22 in the Elementary instrument.</t>
  </si>
  <si>
    <t>(items e-f relate to future planning - Domain 5)</t>
  </si>
  <si>
    <t>F.26 (Sec) / F.23 (Elem)</t>
  </si>
  <si>
    <t>a) I'm comfortable making decisions for myself. b) I think about my problems in ways that help. c) I think before I act. d) I make good decisions. e) I know how to set goals for what I want in life. f) I follow through on the actions required to achieve my goals. (NO Never / Sometimes / YES Often / YES Always)</t>
  </si>
  <si>
    <t>Source-verified against the full PSD Connections Secondary and Elementary instruments. Items (e) and (f), goal-setting and follow-through, conceptually overlap with PSD Section E future-planning items (Domain 5).</t>
  </si>
  <si>
    <t>Same 6 items as PSD Secondary, renumbered F.23 in the Elementary instrument.</t>
  </si>
  <si>
    <t>No analog in other instruments</t>
  </si>
  <si>
    <t>Q1-5</t>
  </si>
  <si>
    <t>'Effort' subscale: effort in discussions, paying attention, homework, overall class effort, learning all material (each on its own 5-point effort-intensity scale).</t>
  </si>
  <si>
    <t>EPSD-only construct. No PSD, TSD, or HKCS analog identified.</t>
  </si>
  <si>
    <t>T48</t>
  </si>
  <si>
    <t>Q32</t>
  </si>
  <si>
    <t>During the past 12 months, have you experienced any of the following forms of racism? (Select all that apply: treated badly/unfairly at school because of race/ethnicity; watched closely by security/store staff because of race/ethnicity; assumed less intelligent because of race/ethnicity; seen family treated badly because of skin color/language/accent/national origin; or none of these)</t>
  </si>
  <si>
    <t>Critical equity gap. The ONLY item anywhere in the survey ecosystem that directly asks students about racism. Black/African American students report at 4x the overall rate. Non-negotiable equity component.</t>
  </si>
  <si>
    <t>T128</t>
  </si>
  <si>
    <t>Q65</t>
  </si>
  <si>
    <t>During the past 30 days, how often did you go hungry because there was not enough food in your home? (Always / Most of the time / Sometimes / Rarely / Never)</t>
  </si>
  <si>
    <t>HKCS: hunger AT HOME, 5-point frequency, deficit framing. PSD: food sufficiency AT SCHOOL, binary, sufficiency framing. Different referent, direction, and scale - construct-level only. See Sheet 8, Case D and Verification Note #7.</t>
  </si>
  <si>
    <t>D.15a</t>
  </si>
  <si>
    <t>I get the food I need to be productive and learn at school. (Yes / No)</t>
  </si>
  <si>
    <t>Q79</t>
  </si>
  <si>
    <t>During the past 12 months, how often did you talk with a staff member at your school about your future plans after high school? (rows: school counselor, teacher, administrator, coach, other staff; columns: Every day / Once a week / A few times each year / Rarely or never)</t>
  </si>
  <si>
    <t>L4-table</t>
  </si>
  <si>
    <t>HKCS uses role-by-frequency matrix; PSD uses multi-select 'who helped' plus ICAP-specific items. Both capture adult involvement in future planning but are not directly comparable.</t>
  </si>
  <si>
    <t>E.18,E.19,E.21</t>
  </si>
  <si>
    <t>E.18: people who shaped future hopes/plans (multi-select). E.19 (Sec only): has ICAP/Xello process helped? (Yes/No/Not sure). E.21 (Sec only): I believe I will graduate (Definitely / Not sure, with open text).</t>
  </si>
  <si>
    <t>MS/B3/B2-OE</t>
  </si>
  <si>
    <t>E.18</t>
  </si>
  <si>
    <t>Same as PSD Secondary E.18. Elementary version does not include ICAP/Xello or graduation-belief items.</t>
  </si>
  <si>
    <t>(demographic item)</t>
  </si>
  <si>
    <t>Q8</t>
  </si>
  <si>
    <t>Are you a person with a disability (e.g., learning, physical, emotional)? (Yes / No / Not sure)</t>
  </si>
  <si>
    <t>HKCS demographic/disaggregation variable. Relevant to screening tool accommodation requirements (Glover &amp; Albers, 2007). No district instrument collects this directly.</t>
  </si>
  <si>
    <t>Gap Analysis: Prioritized Behavioral Health Measurement Gaps</t>
  </si>
  <si>
    <t>Constructs absent from or misaligned across district annual surveys, rated by severity. All baselines from the 2023 HKCS Region 2 Report (n=5,034), verified from the 169-table regional PDF with 95% confidence intervals.</t>
  </si>
  <si>
    <t>Severity was rated across four criteria: (1) prevalence, meaning how common the condition is in the county population; (2) equity disparity, meaning how large the gap is between the overall rate and the most affected subgroup; (3) district coverage, meaning how many of the three districts currently measure this at all; and (4) feasibility, meaning how straightforward it would be to close the gap. Critical and High gaps represent the strongest case for immediate action. Medium and Low gaps are still meaningful but involve more coordination or carry lower implementation urgency.</t>
  </si>
  <si>
    <t>Severity</t>
  </si>
  <si>
    <t>HKCS Ref</t>
  </si>
  <si>
    <t>Verified 2023 Baseline (95% CI) &amp; Key Equity Disaggregations</t>
  </si>
  <si>
    <t>Missing From</t>
  </si>
  <si>
    <t>Rationale &amp; Impact</t>
  </si>
  <si>
    <t>Recommended Action</t>
  </si>
  <si>
    <t>Critical</t>
  </si>
  <si>
    <t>Persistent sadness / hopelessness</t>
  </si>
  <si>
    <t>25.2% (95% CI: 23.0, 27.3)
Transgender: 66.4%
Hispanic/Latino: 29.6%
Female: 31.3%
Trend: 34.6% (2019) → 41.3% (2021) → 25.2% (2023)</t>
  </si>
  <si>
    <t>All three districts</t>
  </si>
  <si>
    <t>This is the most important behavioral health indicator missing from the district survey ecosystem. It captures students with internalizing struggles who never generate office referrals or disciplinary records and are therefore invisible to referral-based systems. The 14-point improvement from 2021 to 2023 shows this item responds to real change, which is exactly what a metric used to track progress over time needs to do. One in four Larimer County high school students met this threshold in 2023. Among transgender students, the rate was 66.4 percent.</t>
  </si>
  <si>
    <t>Add HKCS Q24 verbatim to all three district annual surveys. Before rollout, pair the item with trauma-informed administration guidance and a defined counselor response pathway. This should be ready for the 2026-27 school year with those protocols in place.</t>
  </si>
  <si>
    <t>Suicidal ideation</t>
  </si>
  <si>
    <t>11.9% (95% CI: 10.1, 13.8)
Transgender: 50.0%
Bisexual: 28.2%
Female: 13.3%</t>
  </si>
  <si>
    <t>Nearly one in eight Larimer County high school students seriously considered suicide in 2023. None of the three districts collect this annually at the school level. Students who are experiencing suicidal thoughts but are not acting out behaviorally are not visible to referral-based identification systems.</t>
  </si>
  <si>
    <t>Add HKCS Q25 verbatim. This item must be paired with mandatory counselor response protocols and Safe2Tell cross-referencing before it goes into any district survey.</t>
  </si>
  <si>
    <t>Deliberate self-harm</t>
  </si>
  <si>
    <t>15.1% (95% CI: 13.4, 16.8)
Transgender: 53.2%
Nonbinary: 38.6%
Female: 19.6%</t>
  </si>
  <si>
    <t>More than one in seven students. Transgender students report this at more than 3.5 times the overall rate. Self-harm without suicidal intent is a strong predictor of future crisis escalation and is completely absent from district annual measurement right now.</t>
  </si>
  <si>
    <t>Add HKCS Q23 verbatim. Same counselor response safeguards apply as for the suicidal ideation item.</t>
  </si>
  <si>
    <t>Experiences of racism</t>
  </si>
  <si>
    <t>4.6% overall (95% CI: 4.0, 5.2)
Black/African American: 18.8%
Hispanic/Latino: 11.3% (95% CI: 9.3, 13.3)
White: 1.4%</t>
  </si>
  <si>
    <t>This is the only item anywhere in the survey ecosystem that directly asks students about racism. Black and African American students report this at more than four times the overall rate. Hispanic and Latino students report it at more than two and a half times the overall rate. A data system that cannot surface racial harm is not equity-centered, regardless of how well it measures everything else. EPSD's 22.2 percent Multilingual Learner rate makes this especially important for that district.</t>
  </si>
  <si>
    <t>Add HKCS Q32 verbatim across all three districts. This should be treated as a required equity component, not as an optional addition that depends on available capacity.</t>
  </si>
  <si>
    <t>Suicide planning and attempts</t>
  </si>
  <si>
    <t>T37, T38</t>
  </si>
  <si>
    <t>Plan: 9.9% (95% CI: 8.6, 11.2); Transgender: 39.7%
Attempt: 5.4% (95% CI: 4.9, 5.8); Transgender: 17.3%; Hispanic/Latino: 7.0% vs. White 4.5%</t>
  </si>
  <si>
    <t>Nearly one in ten students made a specific plan. More than one in twenty attempted. The Hispanic and Latino attempt rate exceeds the White rate by 2.5 percentage points. No district tracks either of these annually.</t>
  </si>
  <si>
    <t>Add HKCS Q26 and Q27 verbatim alongside the suicidal ideation item (Q25). The same counselor response safeguards apply.</t>
  </si>
  <si>
    <t>High</t>
  </si>
  <si>
    <t>Poor mental health frequency</t>
  </si>
  <si>
    <t>25.4% (95% CI: 23.8, 26.9)
Transgender: 64.4%
Nonbinary: 58.6%</t>
  </si>
  <si>
    <t>One in four students reported poor mental health most or all of the past 30 days. This item measures current burden rather than a past event, which makes it a useful complement to the persistent sadness and hopelessness item (T35). Transgender students report at 64.4 percent and nonbinary students at 58.6 percent.</t>
  </si>
  <si>
    <t>Add HKCS Q22 verbatim across all three districts. This can be introduced in the same survey cycle as the sadness and hopelessness item once trauma protocols are in place.</t>
  </si>
  <si>
    <t>Trusted adult - TSD gap</t>
  </si>
  <si>
    <t>79.9% (95% CI: 78.8, 81.0)
Hispanic/Latino: 75.2% vs. White 81.9% (6.7-point gap)
Transgender: 69.5%
2019 baseline: 75.4% (improved to 79.9% by 2023)</t>
  </si>
  <si>
    <t>TSD only</t>
  </si>
  <si>
    <t>Having a trusted adult is the strongest protective factor documented in the HKCS data. TSD's Panorama measures teacher respect and concern but does not ask the direct question about whether a student has someone they can go to for help. The 6.7-point gap between Hispanic and Latino students and White students, and the improvement from 75.4 percent in 2019 to 79.9 percent in 2023, both show this item responds to school-level investment in adult-student relationships. TSD is the only district missing it.</t>
  </si>
  <si>
    <t>Add HKCS Q28 verbatim to TSD's annual survey, using the 3-point scale (Yes / No / Not sure) so results are comparable to the county baseline of 79.9 percent.</t>
  </si>
  <si>
    <t>School safety - EPSD gap</t>
  </si>
  <si>
    <t>94.7% (95% CI: 93.8, 95.6)
Transgender: 78.6% (16-point gap from overall)</t>
  </si>
  <si>
    <t>EPSD only</t>
  </si>
  <si>
    <t>EPSD is the only district with no school safety item at all. PSD's 5-year trend shows this item responds to school-level change, moving from 84.6 percent in 2023 to 91.2 percent in 2025. The 16-point gap between the overall rate and the transgender rate makes this an equity indicator as much as a safety one.</t>
  </si>
  <si>
    <t>Add a school safety item to EPSD using the HKCS 4-point scale (Definitely / Usually / Not often / Definitely not) so results are comparable to the county baseline. Do not use a binary scale. See Sheet 9, Case C.</t>
  </si>
  <si>
    <t>Medium</t>
  </si>
  <si>
    <t>Belonging - scale standardization</t>
  </si>
  <si>
    <t>74.2% (95% CI: 72.7, 75.7)
Transgender: 46.5%
Nonbinary: 56.6%</t>
  </si>
  <si>
    <t>All three districts measure it but with three different scales</t>
  </si>
  <si>
    <t>All four instruments measure school-level belonging but use three different scales. HKCS uses a 5-point agreement scale, PSD uses binary Yes/No, and TSD uses a 5-point intensity scale with different anchors. Results cannot be aggregated or compared across districts. The gap between transgender students (46.5 percent) and the overall rate (74.2 percent) is nearly 28 points and is the largest equity gap among the belonging and climate constructs. TSD administers this item twice per year, which is an asset for within-year change detection once scales are standardized.</t>
  </si>
  <si>
    <t>Standardize on the HKCS 5-point agreement wording and scale across all three districts. TSD's Panorama belonging item can continue as a supplementary climate measure but should not be presented as equivalent to the shared metric until scale standardization is complete.</t>
  </si>
  <si>
    <t>Help-seeking capacity</t>
  </si>
  <si>
    <t>T43 (source uncertain - Verification Note #10)</t>
  </si>
  <si>
    <t>54.2% would take action if concerned about self/others
Transgender: 42.9%</t>
  </si>
  <si>
    <t>EPSD and TSD (PSD Elementary has it; PSD Secondary measures service awareness instead)</t>
  </si>
  <si>
    <t>Only about half of county students say they would take action if concerned about their own or someone else's well-being. With counselor ratios above 240:1 in all three districts, students who do not know how to start a help-seeking conversation are unlikely to be reached through staff outreach alone.</t>
  </si>
  <si>
    <t>Add PSD Elementary D.16 verbatim to EPSD and TSD: 'Do you know how to reach out for help if you have big feelings and need to talk to someone?' Note: this would also be a new item for PSD Secondary, which currently asks about service awareness rather than help-seeking self-efficacy. See Verification Note #2.</t>
  </si>
  <si>
    <t>8.8% (95% CI: 7.7, 9.9)
Hispanic/Latino: 13.6%
Transgender: 14.6%</t>
  </si>
  <si>
    <t>EPSD and TSD (PSD has it with different framing)</t>
  </si>
  <si>
    <t>EPSD's free and reduced lunch rate is now 39.7 percent, the highest of the three districts and a substantial increase from 26 percent in 2024. Food insecurity is a direct barrier to learning and a social determinant of mental health. The HKCS and PSD items measure related but different things: home food insecurity versus school food sufficiency. See Sheet 9, Case D.</t>
  </si>
  <si>
    <t>Add a food security item to EPSD and TSD using the HKCS Q65 wording and scale (home food insecurity, 5-point frequency) rather than PSD's binary school-focused item, so results align with the verified county baseline and equity disaggregations.</t>
  </si>
  <si>
    <t>Low</t>
  </si>
  <si>
    <t>Stress manageability - scale harmonization</t>
  </si>
  <si>
    <t>63.3% (95% CI: 61.5, 65.1)
Transgender: 29.6%
Female: 56.6%; Male: 72.7%
Larimer County exceeds 58% statewide rate</t>
  </si>
  <si>
    <t>EPSD and TSD (PSD has it; HKCS has it; scales differ)</t>
  </si>
  <si>
    <t>PSD and HKCS use word-for-word identical wording but different response scales, 5-point agreement versus binary Yes/No. This is the closest thing to a direct cross-district comparison available in the current ecosystem, but it is not yet poolable without a documented conversion rule.</t>
  </si>
  <si>
    <t>Add verbatim to EPSD and TSD using the HKCS 5-point agreement scale. Recommend PSD also migrate to the 5-point scale in a future survey revision so all four instruments are truly comparable. This requires zero wording negotiation since the text is already identical.</t>
  </si>
  <si>
    <t>Shared Metric Candidates</t>
  </si>
  <si>
    <t>Nine specific survey items recommended for cross-district adoption, organized by tier. All baselines from the 2023 HKCS Region 2 Report (n=5,034).</t>
  </si>
  <si>
    <t>Items are organized into four tiers based on implementation feasibility and strength of the supporting evidence. Primary = the single item that would do the most to make currently invisible students visible. Tier 1 = near-zero-cost alignments achievable in the 2026-27 school year. Tier 2 = next-priority items requiring slightly more coordination. Equity Supplement = required component of any equity-centered shared measurement system. Scale Compatibility notes flag where HKCS scale should be adopted to ensure direct comparability with the county baseline.</t>
  </si>
  <si>
    <t>Tier</t>
  </si>
  <si>
    <t>Verbatim Item Text &amp; Source</t>
  </si>
  <si>
    <t>County Baseline</t>
  </si>
  <si>
    <t>Trend Available</t>
  </si>
  <si>
    <t>District Coverage</t>
  </si>
  <si>
    <t>Action Needed</t>
  </si>
  <si>
    <t>Scale Compatibility &amp; Equity Note</t>
  </si>
  <si>
    <t>Primary</t>
  </si>
  <si>
    <t>During the past 12 months, did you ever feel so sad or hopeless almost every day for two weeks or more in a row that you stopped doing some usual activities? (Yes / No)
Source: HKCS Q24</t>
  </si>
  <si>
    <t>25.2% (95% CI: 23.0, 27.3)</t>
  </si>
  <si>
    <t>Yes - 2019, 2021, 2023</t>
  </si>
  <si>
    <t>None currently</t>
  </si>
  <si>
    <t>Add to EPSD, PSD, TSD</t>
  </si>
  <si>
    <t>Binary - directly comparable once adopted
Equity: Transgender 66.4%; Hispanic/Latino 29.6%
Strongest candidate: longest trend line, most sensitive to real change, captures the internalizing students most invisible to current systems. Verbatim adoption ensures immediate comparability with county baseline.</t>
  </si>
  <si>
    <t>Tier 1</t>
  </si>
  <si>
    <t>Stress manageability</t>
  </si>
  <si>
    <t>My stress level is manageable most days.
Source: HKCS Q21 / PSD D.15b (identical wording)</t>
  </si>
  <si>
    <t>63.3% (95% CI: 61.5, 65.1)</t>
  </si>
  <si>
    <t>Yes - PSD has multi-year data</t>
  </si>
  <si>
    <t>PSD only</t>
  </si>
  <si>
    <t>Add to EPSD and TSD; standardize scale</t>
  </si>
  <si>
    <t>CAUTION: HKCS uses L5A (5-point); PSD uses B2 (binary). See Sheet 8.
Equity: Transgender 29.6%; Female 56.6%
Only item with identical wording across two instruments. Scale mismatch must be resolved before results are poolable. Recommend HKCS 5-point scale as standard.</t>
  </si>
  <si>
    <t>Trusted adult (in or out of school)</t>
  </si>
  <si>
    <t>If you had a serious problem, do you know an adult in or out of school who you could talk to or go to for help? (Yes / No / Not sure)
Source: HKCS Q28</t>
  </si>
  <si>
    <t>79.9% (95% CI: 78.8, 81.0)</t>
  </si>
  <si>
    <t>Yes - 2019 baseline 75.4%</t>
  </si>
  <si>
    <t>EPSD and PSD have related items (different wording/scope)</t>
  </si>
  <si>
    <t>Add to TSD; clarify wording distinction from PSD A.2a</t>
  </si>
  <si>
    <t>3-point (Yes/No/Not sure) - use HKCS Q28 wording exactly
Equity: Hispanic/Latino 75.2% vs. White 81.9%; Transgender 69.5%
Strongest protective factor in the data. Improved from 75.4% in 2019 to 79.9% in 2023, showing sensitivity to school-level interventions. NOTE: PSD A.2a uses different wording and scope - see Verification Note #3.</t>
  </si>
  <si>
    <t>Belonging - school level</t>
  </si>
  <si>
    <t>Do you agree or disagree that you feel like you belong at your school? (Strongly agree / Agree / Not sure / Disagree / Strongly disagree)
Source: HKCS Q74</t>
  </si>
  <si>
    <t>74.2% (95% CI: 72.7, 75.7)</t>
  </si>
  <si>
    <t>All three districts measure it - with three different scales</t>
  </si>
  <si>
    <t>Standardize wording and scale across all three districts</t>
  </si>
  <si>
    <t>THREE SCALES: HKCS L5A / PSD B2 / TSD L5I. See Sheet 8.
Equity: Transgender 46.5%; Nonbinary 56.6%
Coverage exists everywhere but is not comparable due to scale divergence. TSD administers twice yearly (fall and spring) - a unique asset for within-year change detection once scales are harmonized.</t>
  </si>
  <si>
    <t>School safety</t>
  </si>
  <si>
    <t>I feel safe at my school. (Definitely / Usually / Not often / Definitely not)
Source: HKCS Q80a</t>
  </si>
  <si>
    <t>94.7% (95% CI: 93.8, 95.6)</t>
  </si>
  <si>
    <t>PSD and TSD; EPSD gap</t>
  </si>
  <si>
    <t>Add to EPSD using HKCS 4-point scale</t>
  </si>
  <si>
    <t>THREE SCALES: HKCS L4 / PSD B2 / TSD L5I. See Sheet 8.
Equity: Transgender 78.6% (16-point gap from overall)
One-item fix for EPSD. PSD's 5-year trend shows item is responsive to school-level change. TSD administers twice yearly.</t>
  </si>
  <si>
    <t>Tier 2</t>
  </si>
  <si>
    <t>During the past 30 days, how often was your mental health not good? (Always / Most of the time / Sometimes / Rarely / Never)
Source: HKCS Q22</t>
  </si>
  <si>
    <t>25.4% (95% CI: 23.8, 26.9)</t>
  </si>
  <si>
    <t>HKCS only</t>
  </si>
  <si>
    <t>Add to all three districts</t>
  </si>
  <si>
    <t>5-point frequency - directly comparable once adopted
Equity: Transgender 64.4%; Nonbinary 58.6%
Measures current mental health burden (past 30 days) vs. sadness/hopelessness which captures a past-year event. Together they give both a historical marker and a current-state indicator.</t>
  </si>
  <si>
    <t>T43 (uncertain - Verification Note #10)</t>
  </si>
  <si>
    <t>Do you know how to reach out for help if you have big feelings and need to talk to someone? (Yes / No)
Source: PSD Connections Elementary D.16</t>
  </si>
  <si>
    <t>54.2% (source item uncertain - see Verification Note #10)</t>
  </si>
  <si>
    <t>No</t>
  </si>
  <si>
    <t>PSD Elementary only</t>
  </si>
  <si>
    <t>Add to EPSD and TSD; new item for PSD Secondary</t>
  </si>
  <si>
    <t>Binary - directly comparable once adopted
Equity: Transgender 42.9%
Only about half of county students would take action if concerned. With counselor ratios above 240:1, students must know how to initiate help-seeking themselves.</t>
  </si>
  <si>
    <t>During the past 30 days, how often did you go hungry because there was not enough food in your home? (Always / Most of the time / Sometimes / Rarely / Never)
Source: HKCS Q65</t>
  </si>
  <si>
    <t>8.8% (95% CI: 7.7, 9.9)</t>
  </si>
  <si>
    <t>PSD only (different wording/referent - see Sheet 8)</t>
  </si>
  <si>
    <t>Add to EPSD and TSD using HKCS wording</t>
  </si>
  <si>
    <t>HKCS 5-point frequency vs. PSD binary - see Sheet 8, Case D
Equity: Hispanic/Latino 13.6%; Transgender 14.6%
EPSD's FRL rate now 39.7%, highest of three districts. Food insecurity is a direct social determinant of mental health. Note: PSD's item measures school food sufficiency, not home food insecurity - different construct.</t>
  </si>
  <si>
    <t>Equity Supplement</t>
  </si>
  <si>
    <t>During the past 12 months, have you experienced any of the following forms of racism? (Select all that apply)
Source: HKCS Q32</t>
  </si>
  <si>
    <t>4.6% overall (95% CI: 4.0, 5.2)</t>
  </si>
  <si>
    <t>Add to all three districts - required equity component</t>
  </si>
  <si>
    <t>Multi-select - directly comparable once adopted
Equity: Black/African American 18.8%; Hispanic/Latino 11.3%; White 1.4%
The only item in the entire ecosystem that directly asks about racism. A data system that cannot surface racial harm is not equity-centered regardless of how well it measures everything else. Non-negotiable given EPSD's 32.7% Hispanic/Latino enrollment.</t>
  </si>
  <si>
    <t>District Demographic &amp; Accountability Context</t>
  </si>
  <si>
    <t>Sources: CDE Unified Improvement Planning Dashboards (2025-26); district websites; Groves, Jorgensen &amp; Olsen (2024) Tri-District Report.</t>
  </si>
  <si>
    <t>Indicator</t>
  </si>
  <si>
    <t>EPSD (Estes Park)</t>
  </si>
  <si>
    <t>PSD (Poudre)</t>
  </si>
  <si>
    <t>TSD (Thompson)</t>
  </si>
  <si>
    <t>Enrollment (2025-26)</t>
  </si>
  <si>
    <t>905 (down from 1,014 peak)</t>
  </si>
  <si>
    <t>28,343</t>
  </si>
  <si>
    <t>13,800 (down from 14,717 in 2021-22)</t>
  </si>
  <si>
    <t>Counselor ratio</t>
  </si>
  <si>
    <t>253:1</t>
  </si>
  <si>
    <t>244:1</t>
  </si>
  <si>
    <t>266:1 (highest ratio, least counselor capacity)</t>
  </si>
  <si>
    <t>Hispanic/Latino %</t>
  </si>
  <si>
    <t>32.7%</t>
  </si>
  <si>
    <t>20.2%</t>
  </si>
  <si>
    <t>23.4%</t>
  </si>
  <si>
    <t>Multilingual Learners %</t>
  </si>
  <si>
    <t>22.2% (approx. 4x higher than PSD or TSD)</t>
  </si>
  <si>
    <t>4.8%</t>
  </si>
  <si>
    <t>5.1%</t>
  </si>
  <si>
    <t>Free/Reduced Lunch %</t>
  </si>
  <si>
    <t>39.7% (highest of the three districts)</t>
  </si>
  <si>
    <t>36%</t>
  </si>
  <si>
    <t>37.8%</t>
  </si>
  <si>
    <t>Graduation rate</t>
  </si>
  <si>
    <t>84.3%</t>
  </si>
  <si>
    <t>86.9%</t>
  </si>
  <si>
    <t>90.9%</t>
  </si>
  <si>
    <t>CDE Accreditation (2025-26)</t>
  </si>
  <si>
    <t>Accredited (62.4%, 2025-26)</t>
  </si>
  <si>
    <t>Accredited (67.4%, 2025-26)</t>
  </si>
  <si>
    <t>Accredited (60.5%, 2025-26)</t>
  </si>
  <si>
    <t>Academic Achievement</t>
  </si>
  <si>
    <t>Approaching (46.0%)</t>
  </si>
  <si>
    <t>Meets (72.7%) - only district rated Meets every year 2019-2025</t>
  </si>
  <si>
    <t>Approaching (60.7%)</t>
  </si>
  <si>
    <t>Key behavioral health assets</t>
  </si>
  <si>
    <t>MTSS framework; Cultural Liaisons; ELD program; Salud health partnership</t>
  </si>
  <si>
    <t>27 MH specialists; bilingual support; Research &amp; Evaluation dept.; Power BI public dashboard; 5-year Connections trend data</t>
  </si>
  <si>
    <t>Formal MTSS dept.; Comprehensive Screening system; eduCLIMBER platform; Sunrise Thompson Health Clinic</t>
  </si>
  <si>
    <t>Data infrastructure note</t>
  </si>
  <si>
    <t>Many demographic subgroup cells suppressed in CDE reporting due to small enrollment. District is effectively invisible in regional benchmarking without a shared measurement system.</t>
  </si>
  <si>
    <t>Most developed data infrastructure of the three districts. Low Participation flag on CDE assessments every year - assessment data incomplete.</t>
  </si>
  <si>
    <t>Low Participation flag on CDE assessments. HKCS participation limited to select schools.</t>
  </si>
  <si>
    <t>Item Detail: Adult &amp; Peer Connections</t>
  </si>
  <si>
    <t>Verbatim item text and response scales for every instrument that measures a construct in this domain.</t>
  </si>
  <si>
    <t>Item Detail: Belonging, Climate &amp; Safety</t>
  </si>
  <si>
    <t>Item Detail: Mental Health, Stress &amp; Risk</t>
  </si>
  <si>
    <t>Item Detail: SEL Competencies</t>
  </si>
  <si>
    <t>Item Detail: Equity, Basic Needs &amp; Future Planning</t>
  </si>
  <si>
    <t>Response Scale Equivalence Analysis</t>
  </si>
  <si>
    <t>Cases where item wording matches across instruments but the response scale differs, and what that means for comparison.</t>
  </si>
  <si>
    <t>The response scale a question uses is part of what is actually being measured, not a cosmetic detail. A binary Yes/No item and a 5-point agreement item asking the same question will not produce comparable distributions. A percentage computed from one cannot be placed on the same chart as a percentage computed from the other without an explicit, defensible conversion rule (Dillman, Smyth and Christian, 2014). The five cases below are the constructs where this crosswalk found near-identical wording but different response scales. As a general rule, when designing a shared metric, it is easier to standardize on the scale that already carries more information, typically a 5-point scale that can always be collapsed down to Yes/No later if needed, than to standardize on a Yes/No scale that cannot be expanded back into 5 categories after the fact.</t>
  </si>
  <si>
    <t>Construct &amp; Instruments</t>
  </si>
  <si>
    <t>Scales in Use</t>
  </si>
  <si>
    <t>Statistical Concern</t>
  </si>
  <si>
    <t>Recommended Harmonization</t>
  </si>
  <si>
    <t>Stress manageability
(HKCS Q21/T32; PSD D.15b)</t>
  </si>
  <si>
    <t>HKCS: L5A (Strongly agree → Strongly disagree)
PSD: B2 (Yes/No)
Wording is IDENTICAL: 'My stress level is manageable most days.'</t>
  </si>
  <si>
    <t>The wording match is real and is the closest thing to a directly comparable item pair in the entire crosswalk. But a 5-point agreement scale and a binary Yes/No cannot be pooled or placed on the same trend line. The conversion rule matters: does 'Agree' count toward 'Yes'? Does 'Not sure'? The answer will materially affect the resulting percentage.</t>
  </si>
  <si>
    <t>If EPSD and TSD adopt this item, they should adopt the HKCS 5-point agreement scale (the higher-information option, and the one the county baseline is already expressed in). PSD's existing binary data can be reported as a distinct series, or PSD could migrate to the 5-point scale in a future survey cycle for full comparability.</t>
  </si>
  <si>
    <t>Belonging - school level
(HKCS Q74/T144; PSD B.8g; TSD Q14)</t>
  </si>
  <si>
    <t>HKCS: L5A (Strongly agree → Strongly disagree)
PSD: B2 (Yes/No)
TSD: L5I (Do not belong at all → Completely belong)
NOTE: TSD administers this item TWICE per year (fall and spring), confirmed by Jennifer Guthals, TSD, June 2026.</t>
  </si>
  <si>
    <t>Three different scales for the same construct is the most significant harmonization gap in this crosswalk. Even if all three districts already have a belonging item, the resulting percentages are not comparable, and combining them into a single regional figure is not statistically defensible without validating how each scale maps to the others. TSD's twice-yearly administration is a genuine asset for within-year change detection but does not resolve the scale problem.</t>
  </si>
  <si>
    <t>Recommend the three districts converge on a single wording AND scale. The HKCS 5-point agreement scale is the strongest candidate since it underlies the verified county baseline (74.2%, 95% CI 72.7-75.7). TSD's Panorama belonging item can continue as a supplementary climate measure but should not be presented as equivalent to the shared metric.</t>
  </si>
  <si>
    <t>School safety - physical
(HKCS Q80a/T154; PSD D.15c; TSD Q16)</t>
  </si>
  <si>
    <t>HKCS: L4 (Definitely / Usually / Not often / Definitely not)
PSD: B2 (Yes/No)
TSD: L5I (Not at all safe → Completely safe)
NOTE: TSD administers this item TWICE per year (fall and spring), confirmed by Jennifer Guthals, TSD, June 2026.
EPSD has no safety item at all (confirmed gap).</t>
  </si>
  <si>
    <t>Same three-scale pattern as belonging. EPSD currently has no safety item, which means EPSD's planned addition is an opportunity to adopt the HKCS 4-point scale directly rather than adding a fourth scale variant.</t>
  </si>
  <si>
    <t>If EPSD adds a school-safety item, adopt the HKCS 4-point scale (Definitely / Usually / Not often / Definitely not) so results are comparable to the county baseline (94.7%, 95% CI 93.8-95.6). PSD and TSD's existing items still need a documented conversion approach if a single shared figure is required.</t>
  </si>
  <si>
    <t>Food security
(HKCS Q65/T128; PSD D.15a)</t>
  </si>
  <si>
    <t>HKCS: L5F (Always → Never; how often went hungry AT HOME, past 30 days; deficit framing)
PSD: B2 (Yes/No; gets food needed AT SCHOOL; sufficiency framing; no time referent)</t>
  </si>
  <si>
    <t>Not only a scale mismatch but a referent and framing mismatch. HKCS measures home food insecurity; PSD measures school food sufficiency. A student could answer Yes to PSD's item while reporting frequent hunger at home on the HKCS item. These are related but not the same underlying quantity.</t>
  </si>
  <si>
    <t>Treat as construct-level related indicators, not interchangeable. If EPSD and TSD add a food-security item, recommend the HKCS wording and scale (home food insecurity, frequency-based) since it aligns with the verified county baseline (8.8%, 95% CI 7.7-9.9) and equity disaggregation (Hispanic/Latino 13.6%, transgender 14.6%).</t>
  </si>
  <si>
    <t>Trusted adult - scope and scale
(HKCS Q28/T39; PSD A.2a)</t>
  </si>
  <si>
    <t>HKCS: B3 (Yes / No / Not sure); adult 'in or out of school'; 'serious problem'
PSD: B2 (Yes/No); adult 'at my school'; 'things that are bothering me'</t>
  </si>
  <si>
    <t>Source verification confirmed these are different items: scope differs (school-only vs. in-or-out-of-school), severity framing differs ('things that are bothering me' vs. 'serious problem'), and the scale differs (2-point vs. 3-point with a 'Not sure' option that captures a meaningfully different population than a forced binary). Both items are documented separately in Sheet 4.</t>
  </si>
  <si>
    <t>If TSD adds a trusted-adult item to align with the HKCS T39 baseline, use the verified HKCS Q28 wording and 3-point scale. PSD's existing item remains a useful school-specific indicator but should be labeled distinctly from the HKCS T39 baseline going forward.</t>
  </si>
  <si>
    <t>HKCS Baseline Reference: 2023 Region 2 Report</t>
  </si>
  <si>
    <t>Verified rates and 95% confidence intervals (n = 5,034 Larimer County high school students). Source: HKCS High School Region 2 Report, 169-table regional PDF with 95% confidence intervals.</t>
  </si>
  <si>
    <t>Overall % (95% CI)</t>
  </si>
  <si>
    <t>Key Equity Disaggregations</t>
  </si>
  <si>
    <t>Trend / Other Notes</t>
  </si>
  <si>
    <t>Stress manageable most days</t>
  </si>
  <si>
    <t>63.3% (61.5, 65.1)</t>
  </si>
  <si>
    <t>Transgender 29.6%; Female 56.6%; Male 72.7%</t>
  </si>
  <si>
    <t>Larimer County exceeds the 58% statewide rate.</t>
  </si>
  <si>
    <t>Poor mental health most/all of past 30 days</t>
  </si>
  <si>
    <t>25.4% (23.8, 26.9)</t>
  </si>
  <si>
    <t>Transgender 64.4%; Nonbinary 58.6%</t>
  </si>
  <si>
    <t>Deliberate self-harm (past 12 months)</t>
  </si>
  <si>
    <t>15.1% (13.4, 16.8)</t>
  </si>
  <si>
    <t>Transgender 53.2%; Nonbinary 38.6%; Female 19.6%</t>
  </si>
  <si>
    <t>25.2% (23.0, 27.3)</t>
  </si>
  <si>
    <t>Hispanic/Latino 29.6% vs. White 23.6%; Transgender 66.4%; Female 31.3%</t>
  </si>
  <si>
    <t>Trend: 34.6% (2019) → 41.3% (2021) → 25.2% (2023).</t>
  </si>
  <si>
    <t>Seriously considered suicide (past 12 months)</t>
  </si>
  <si>
    <t>11.9% (10.1, 13.8)</t>
  </si>
  <si>
    <t>Transgender 50.0%; Bisexual 28.2%; Female 13.3%</t>
  </si>
  <si>
    <t>Made a suicide plan (past 12 months)</t>
  </si>
  <si>
    <t>9.9% (8.6, 11.2)</t>
  </si>
  <si>
    <t>Transgender 39.7%; Bisexual 24.7%</t>
  </si>
  <si>
    <t>Attempted suicide (past 12 months)</t>
  </si>
  <si>
    <t>5.4% (4.9, 5.8)</t>
  </si>
  <si>
    <t>Transgender 17.3%; Hispanic/Latino 7.0% vs. White 4.5%</t>
  </si>
  <si>
    <t>Has trusted adult for serious problem, in or out of school (HKCS Q28; B3 scale)</t>
  </si>
  <si>
    <t>79.9% (78.8, 81.0)</t>
  </si>
  <si>
    <t>Hispanic/Latino 75.2% vs. White 81.9%; Transgender 69.5%</t>
  </si>
  <si>
    <t>2019 baseline 75.4% → 79.9% in 2023. NOTE: see Verification Note #3 - this is HKCS Q28. PSD A.2a (same construct, different wording and scope) is documented separately in Sheet 4.</t>
  </si>
  <si>
    <t>T43</t>
  </si>
  <si>
    <t>Help-seeking: would take action if concerned (source item uncertain)</t>
  </si>
  <si>
    <t>54.2% (source uncertain)</t>
  </si>
  <si>
    <t>Transgender 42.9%</t>
  </si>
  <si>
    <t>Closest verified candidate is HKCS Q31 (multi-select). See Verification Note #10.</t>
  </si>
  <si>
    <t>4.6% (4.0, 5.2)</t>
  </si>
  <si>
    <t>Black/African American 18.8%; Hispanic/Latino 11.3% (95% CI 9.3, 13.3); White 1.4%</t>
  </si>
  <si>
    <t>Only item in the entire survey ecosystem that directly asks students about racism.</t>
  </si>
  <si>
    <t>Went hungry due to lack of food at home (past 30 days)</t>
  </si>
  <si>
    <t>8.8% (7.7, 9.9)</t>
  </si>
  <si>
    <t>Hispanic/Latino 13.6%; Transgender 14.6%</t>
  </si>
  <si>
    <t>Belongs at school (HKCS Q74; L5A scale)</t>
  </si>
  <si>
    <t>74.2% (72.7, 75.7)</t>
  </si>
  <si>
    <t>Transgender 46.5%; Nonbinary 56.6%</t>
  </si>
  <si>
    <t>Feels safe at school (HKCS Q80a; L4 scale)</t>
  </si>
  <si>
    <t>94.7% (93.8, 95.6)</t>
  </si>
  <si>
    <t>Transgender 78.6%</t>
  </si>
  <si>
    <t>Coverage Dashboard</t>
  </si>
  <si>
    <t>Distribution of alignment codes per instrument across all 37 constructs. A quick statistical summary of how well each instrument currently aligns to the HKCS anchor.</t>
  </si>
  <si>
    <t>Each cell below counts how many of the 37 constructs in this crosswalk fall into each alignment category for a given instrument. V (item-level) and W (wording-match, scale-divergent) represent the strongest current basis for comparison. C (construct-level) represents usable but non-interchangeable indicators. The Comparable (V+W+C) percentage is a rough indicator of how much of this crosswalk's construct space an instrument currently touches in some comparable form. It is not a measure of instrument quality. Many constructs are intentionally specific to one instrument by design. EPSD's lower percentage reflects confirmed measurement gaps documented in Sheet 5, not a quality problem with EPSD's instruments.</t>
  </si>
  <si>
    <t>V
(item-level)</t>
  </si>
  <si>
    <t>W
(wording, scale-divergent)</t>
  </si>
  <si>
    <t>C
(construct-level)</t>
  </si>
  <si>
    <t>R
(related only)</t>
  </si>
  <si>
    <t>Not measured /
not applicable</t>
  </si>
  <si>
    <t>Total
constructs</t>
  </si>
  <si>
    <t>Comparable
(V+W+C) %</t>
  </si>
  <si>
    <t>Alignment-Code Distribution by Instrument</t>
  </si>
  <si>
    <t>Verification Notes</t>
  </si>
  <si>
    <t>Source verification process, findings, open items pending confirmation, and methodological decisions made during crosswalk development.</t>
  </si>
  <si>
    <t>#</t>
  </si>
  <si>
    <t>Issue</t>
  </si>
  <si>
    <t>Description</t>
  </si>
  <si>
    <t>Impact &amp; Recommended Resolution</t>
  </si>
  <si>
    <t>EPSD Panorama SEL version ambiguity (14-item vs. 17-item)</t>
  </si>
  <si>
    <t>A 14-item Panorama SEL proof form was verified directly. A forwarded email references a 17-item version with three additional 'can be yourself around...' items (Q14-16) plus open text Q17, but exact wording unverified.</t>
  </si>
  <si>
    <t>This crosswalk uses only the 14-item version's verified content. If the 17-item version is current, the 'feel safe to express identity' construct (Domain 2) may have an EPSD analog not yet reflected here. Recommended: confirm with EPSD which version is administered and obtain verbatim text for Q14-16.</t>
  </si>
  <si>
    <t>PSD help-seeking item differs by grade band (Section D, Q16)</t>
  </si>
  <si>
    <t>PSD Elementary D.16: 'Do you know how to reach out for help if you have big feelings and need to talk to someone?' (help-seeking self-efficacy). PSD Secondary D.16: 'Are you aware of mental health services available to you?' (service awareness). Same item number, different constructs.</t>
  </si>
  <si>
    <t>Any recommendation citing 'PSD Connections D Q16' must specify grade band. The Elementary wording is the help-seeking self-efficacy item aligned with the shared metric candidate set. For secondary grades, this would be a genuinely new item for PSD Secondary as well.</t>
  </si>
  <si>
    <t>HKCS T39: verified item wording and scope</t>
  </si>
  <si>
    <t>Source verification confirmed that HKCS T39 (Q28) reads: 'If you had a serious problem, do you know an adult in or out of school who you could talk to or go to for help?' with a Yes/No/Not sure scale. A related item in PSD's own Connections instrument (Section A, Q2a) uses different wording: 'There is an adult at my school I can talk to about things that are bothering me.' Both are documented in this crosswalk.</t>
  </si>
  <si>
    <t>HKCS T39 is broader in scope, uses different severity framing, and has a 3-point scale. Any item added to align with the T39 county baseline should use the verified HKCS Q28 wording and 3-point scale.</t>
  </si>
  <si>
    <t>Stress manageability - response scale mismatch</t>
  </si>
  <si>
    <t>HKCS Q21/T32 and PSD D.15b use IDENTICAL wording ('My stress level is manageable most days') but HKCS uses 5-point agreement and PSD uses binary (Yes/No).</t>
  </si>
  <si>
    <t>NOT directly poolable without a conversion rule. Recommend standardizing on HKCS 5-point agreement scale going forward. See Sheet 8, Case A.</t>
  </si>
  <si>
    <t>Belonging - three different response scales</t>
  </si>
  <si>
    <t>HKCS Q74/T144 (5-point agreement), PSD B.8g (binary), and TSD Panorama Q14 (5-point intensity) all measure school-level belonging with similar wording but three distinct scales. TSD administers this item twice per year (fall and spring), confirmed by Jennifer Guthals, TSD, June 30 2026.</t>
  </si>
  <si>
    <t>Scale standardization required alongside wording standardization for poolable results. TSD's twice-yearly administration is an asset for within-year change detection. See Sheet 8, Case B.</t>
  </si>
  <si>
    <t>School safety - three different response scales</t>
  </si>
  <si>
    <t>HKCS Q80a/T154 (4-point), PSD D.15c (binary), and TSD Panorama Q16 (5-point intensity) all measure school safety with similar wording but three distinct scales. TSD administers twice per year (confirmed June 2026). EPSD has no item at all.</t>
  </si>
  <si>
    <t>EPSD's planned addition is an opportunity to adopt the HKCS 4-point scale directly. See Sheet 8, Case C.</t>
  </si>
  <si>
    <t>Food security - construct and referent mismatch</t>
  </si>
  <si>
    <t>HKCS Q65/T128: hunger AT HOME, past 30 days, 5-point frequency, deficit framing. PSD D.15a: food sufficiency AT SCHOOL, no time referent, binary, sufficiency framing.</t>
  </si>
  <si>
    <t>Different constructs. Treated as construct-level related indicators, not interchangeable. See Sheet 8, Case D.</t>
  </si>
  <si>
    <t>PSD SEL subscales: item-level source verification findings</t>
  </si>
  <si>
    <t>Source verification was conducted against both the full Secondary Connections instrument (Q22-26) and Elementary instrument (Q19-23), as well as item-bank images provided during the project. Verification confirmed the exact item wording for all five subscales.</t>
  </si>
  <si>
    <t>All five subscales are documented with verified verbatim items in Sheet 8d (SEL Competencies). Sheet 8d is the authoritative source for PSD SEL subscale item content.</t>
  </si>
  <si>
    <t>HKCS participation scope across districts</t>
  </si>
  <si>
    <t>Per a forwarded email exchange with PSD's Assessment &amp; Analytics Coordinator (Dayna Hudson), TSD participates in HKCS 'but only in select schools,' and EPSD's HKCS participation status was described as uncertain.</t>
  </si>
  <si>
    <t>The 2023 HKCS Region 2 county baseline (Sheet 9) remains the best available reference point but should not be assumed to be a representative, full-census figure for each district individually. Confirm each district's HKCS participation status before presenting county baseline as 'this district's HKCS results.'</t>
  </si>
  <si>
    <t>HKCS T43 source item not definitively located</t>
  </si>
  <si>
    <t>The figure '54.2% would tell a trusted adult' attributed to T43 has not been confirmed against the 169-table HKCS report. The closest verified candidate is HKCS Q31, a multi-select item listing concrete help-seeking actions - a different format from a single binary percentage.</t>
  </si>
  <si>
    <t>Treat the 54.2% figure as provisionally sourced. Q31 is the best available item-level analog until the full 169-table report is available.</t>
  </si>
  <si>
    <t>PSD item-bank/codebook subscale groupings differ from the administered survey form</t>
  </si>
  <si>
    <t>Internal PSD item-bank images group 'My stress level is manageable most days,' 'I feel safe at school,' and 'I feel safe to express who I am at school' under a Student-to-Student Connections subscale (tagged 'NEW 2023'). On the administered form, these items appear in Section D (Health &amp; Wellbeing), not Section B.</t>
  </si>
  <si>
    <t>This crosswalk categorizes items per the administered form's structure. If PSD's internal composite scoring incorporates these items under Student-to-Student Connections, PSD's published composite percentages for that subscale include content this crosswalk treats as separate constructs. Confirm with Dayna Hudson (PSD Assessment &amp; Analytics) before using PSD named composite scores as a proxy for any single construct.</t>
  </si>
  <si>
    <t>Fall only (full bank). Teacher-Student Relationships and Sense of Belonging administered a second time each spring. Confirmed: Jennifer Guthals, Director of Student Success, TSD. Note: TSD HKCS participation limited to select schools (Verification Note #9).</t>
  </si>
  <si>
    <t>Not directly confirmed by EPSD. Shelley Marie (Health District) inferred EPSD likely follows the same Panorama fall/spring schedule as TSD, on the basis that Panorama districts tend to follow a similar schedule. Treat as assumption pending EPSD confirmation.</t>
  </si>
  <si>
    <t>Persistent sadness / hopelessness  PRIMARY METRIC CANDIDATE</t>
  </si>
  <si>
    <t>Suicidal ideation  CRITICAL GAP</t>
  </si>
  <si>
    <t>Suicide plan  CRITICAL GAP</t>
  </si>
  <si>
    <t>Suicide attempts  CRITICAL GAP</t>
  </si>
  <si>
    <t>Deliberate self-harm  CRITICAL GAP</t>
  </si>
  <si>
    <t>Stress manageability  SCALE MISMATCH</t>
  </si>
  <si>
    <t>Experiences of racism  EQUITY SUPPLEMENT - CRITICAL</t>
  </si>
  <si>
    <t>Persistent sadness/hopelessness (past 12 months)  PRIMARY METRIC CANDIDATE</t>
  </si>
  <si>
    <t>Experienced racism (past 12 months)  EQUITY SUPPLEMENT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</si>
</sst>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6"/>
      <color rgb="FF1B3A5C"/>
      <name val="Calibri"/>
      <charset val="1"/>
    </font>
    <font>
      <i/>
      <sz val="11"/>
      <color rgb="FF2066A8"/>
      <name val="Calibri"/>
      <charset val="1"/>
    </font>
    <font>
      <b/>
      <sz val="12"/>
      <color rgb="FF1B3A5C"/>
      <name val="Calibri"/>
      <charset val="1"/>
    </font>
    <font>
      <sz val="10"/>
      <color rgb="FF000000"/>
      <name val="Calibri"/>
      <charset val="1"/>
    </font>
    <font>
      <b/>
      <sz val="10"/>
      <name val="Calibri"/>
      <charset val="1"/>
    </font>
    <font>
      <b/>
      <sz val="10"/>
      <color rgb="FFFFFFFF"/>
      <name val="Calibri"/>
      <charset val="1"/>
    </font>
    <font>
      <sz val="10"/>
      <name val="Calibri"/>
      <charset val="1"/>
    </font>
    <font>
      <i/>
      <sz val="9"/>
      <color rgb="FF555555"/>
      <name val="Calibri"/>
      <charset val="1"/>
    </font>
    <font>
      <b/>
      <sz val="10"/>
      <color rgb="FFC0392B"/>
      <name val="Calibri"/>
      <charset val="1"/>
    </font>
    <font>
      <b/>
      <sz val="10"/>
      <color rgb="FFB7770D"/>
      <name val="Calibri"/>
      <charset val="1"/>
    </font>
    <font>
      <b/>
      <sz val="10"/>
      <color rgb="FF7D6608"/>
      <name val="Calibri"/>
      <charset val="1"/>
    </font>
    <font>
      <b/>
      <sz val="10"/>
      <color rgb="FF1E8449"/>
      <name val="Calibri"/>
      <charset val="1"/>
    </font>
  </fonts>
  <fills count="13">
    <fill>
      <patternFill patternType="none"/>
    </fill>
    <fill>
      <patternFill patternType="gray125"/>
    </fill>
    <fill>
      <patternFill patternType="solid">
        <fgColor rgb="FF1B3A5C"/>
        <bgColor rgb="FF333399"/>
      </patternFill>
    </fill>
    <fill>
      <patternFill patternType="solid">
        <fgColor rgb="FFC6E8C6"/>
        <bgColor rgb="FFD9D9D9"/>
      </patternFill>
    </fill>
    <fill>
      <patternFill patternType="solid">
        <fgColor rgb="FFFCE9B5"/>
        <bgColor rgb="FFFFE8CC"/>
      </patternFill>
    </fill>
    <fill>
      <patternFill patternType="solid">
        <fgColor rgb="FFD6E4F5"/>
        <bgColor rgb="FFE8E8E8"/>
      </patternFill>
    </fill>
    <fill>
      <patternFill patternType="solid">
        <fgColor rgb="FFE8E8E8"/>
        <bgColor rgb="FFEBF1F8"/>
      </patternFill>
    </fill>
    <fill>
      <patternFill patternType="solid">
        <fgColor rgb="FFFFFFFF"/>
        <bgColor rgb="FFEBF1F8"/>
      </patternFill>
    </fill>
    <fill>
      <patternFill patternType="solid">
        <fgColor rgb="FFEBF1F8"/>
        <bgColor rgb="FFE8F5E9"/>
      </patternFill>
    </fill>
    <fill>
      <patternFill patternType="solid">
        <fgColor rgb="FFFFDBD9"/>
        <bgColor rgb="FFFFE8CC"/>
      </patternFill>
    </fill>
    <fill>
      <patternFill patternType="solid">
        <fgColor rgb="FFFFE8CC"/>
        <bgColor rgb="FFFCE9B5"/>
      </patternFill>
    </fill>
    <fill>
      <patternFill patternType="solid">
        <fgColor rgb="FFFFF9C4"/>
        <bgColor rgb="FFFFE8CC"/>
      </patternFill>
    </fill>
    <fill>
      <patternFill patternType="solid">
        <fgColor rgb="FFE8F5E9"/>
        <bgColor rgb="FFEBF1F8"/>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47">
    <xf numFmtId="0" fontId="0" fillId="0" borderId="0" xfId="0"/>
    <xf numFmtId="0" fontId="7" fillId="0" borderId="0" xfId="0" applyFont="1" applyAlignment="1">
      <alignment horizontal="left" vertical="top" wrapText="1"/>
    </xf>
    <xf numFmtId="0" fontId="8" fillId="0" borderId="1" xfId="0" applyFont="1" applyBorder="1" applyAlignment="1">
      <alignment horizontal="left" vertical="top" wrapText="1"/>
    </xf>
    <xf numFmtId="0" fontId="7" fillId="0" borderId="1" xfId="0" applyFont="1" applyBorder="1" applyAlignment="1">
      <alignment horizontal="center" vertical="center"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7" fillId="0" borderId="2" xfId="0" applyFont="1" applyBorder="1" applyAlignment="1">
      <alignment horizontal="left" vertical="top" wrapText="1"/>
    </xf>
    <xf numFmtId="0" fontId="4" fillId="0" borderId="2" xfId="0" applyFont="1" applyBorder="1" applyAlignment="1">
      <alignment horizontal="left" vertical="top" wrapText="1"/>
    </xf>
    <xf numFmtId="0" fontId="6" fillId="2" borderId="2" xfId="0" applyFont="1" applyFill="1" applyBorder="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center"/>
    </xf>
    <xf numFmtId="0" fontId="1" fillId="0" borderId="0" xfId="0" applyFont="1" applyAlignment="1">
      <alignment horizontal="left" vertical="center"/>
    </xf>
    <xf numFmtId="0" fontId="3" fillId="0" borderId="0" xfId="0" applyFont="1"/>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top" wrapText="1"/>
    </xf>
    <xf numFmtId="0" fontId="7" fillId="5" borderId="1" xfId="0" applyFont="1" applyFill="1" applyBorder="1" applyAlignment="1">
      <alignment horizontal="center" vertical="center"/>
    </xf>
    <xf numFmtId="0" fontId="8" fillId="0" borderId="1" xfId="0" applyFont="1" applyBorder="1" applyAlignment="1">
      <alignment horizontal="left" vertical="top" wrapText="1"/>
    </xf>
    <xf numFmtId="0" fontId="7" fillId="3"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6" borderId="1" xfId="0" applyFont="1" applyFill="1" applyBorder="1" applyAlignment="1">
      <alignment horizontal="center" vertical="center"/>
    </xf>
    <xf numFmtId="0" fontId="9" fillId="9" borderId="1" xfId="0" applyFont="1" applyFill="1" applyBorder="1" applyAlignment="1">
      <alignment horizontal="center" vertical="center"/>
    </xf>
    <xf numFmtId="0" fontId="10"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12" fillId="12"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4" fillId="0" borderId="1" xfId="0" applyFont="1" applyBorder="1" applyAlignment="1">
      <alignment horizontal="left" vertical="top" wrapText="1"/>
    </xf>
    <xf numFmtId="164" fontId="7"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D6608"/>
      <rgbColor rgb="FF800080"/>
      <rgbColor rgb="FF008080"/>
      <rgbColor rgb="FFBFBFBF"/>
      <rgbColor rgb="FF878787"/>
      <rgbColor rgb="FF9999FF"/>
      <rgbColor rgb="FFC0504D"/>
      <rgbColor rgb="FFFFF9C4"/>
      <rgbColor rgb="FFE8F5E9"/>
      <rgbColor rgb="FF660066"/>
      <rgbColor rgb="FFFF8080"/>
      <rgbColor rgb="FF2066A8"/>
      <rgbColor rgb="FFD9D9D9"/>
      <rgbColor rgb="FF000080"/>
      <rgbColor rgb="FFFF00FF"/>
      <rgbColor rgb="FFFFFF00"/>
      <rgbColor rgb="FF00FFFF"/>
      <rgbColor rgb="FF800080"/>
      <rgbColor rgb="FF800000"/>
      <rgbColor rgb="FF008080"/>
      <rgbColor rgb="FF0000FF"/>
      <rgbColor rgb="FF00CCFF"/>
      <rgbColor rgb="FFEBF1F8"/>
      <rgbColor rgb="FFC6E8C6"/>
      <rgbColor rgb="FFFCE9B5"/>
      <rgbColor rgb="FFD6E4F5"/>
      <rgbColor rgb="FFFFE8CC"/>
      <rgbColor rgb="FFE8E8E8"/>
      <rgbColor rgb="FFFFDBD9"/>
      <rgbColor rgb="FF4F81BD"/>
      <rgbColor rgb="FF33CCCC"/>
      <rgbColor rgb="FF9BBB59"/>
      <rgbColor rgb="FFFFCC00"/>
      <rgbColor rgb="FFFF9900"/>
      <rgbColor rgb="FFB7770D"/>
      <rgbColor rgb="FF8064A2"/>
      <rgbColor rgb="FF969696"/>
      <rgbColor rgb="FF1B3A5C"/>
      <rgbColor rgb="FF1E8449"/>
      <rgbColor rgb="FF003300"/>
      <rgbColor rgb="FF333300"/>
      <rgbColor rgb="FFC0392B"/>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Construct counts by alignment code</a:t>
            </a:r>
          </a:p>
        </c:rich>
      </c:tx>
      <c:overlay val="0"/>
      <c:spPr>
        <a:noFill/>
        <a:ln w="0">
          <a:noFill/>
        </a:ln>
      </c:spPr>
    </c:title>
    <c:autoTitleDeleted val="0"/>
    <c:plotArea>
      <c:layout/>
      <c:barChart>
        <c:barDir val="col"/>
        <c:grouping val="stacked"/>
        <c:varyColors val="0"/>
        <c:ser>
          <c:idx val="0"/>
          <c:order val="0"/>
          <c:tx>
            <c:strRef>
              <c:f>'11. Coverage Dashboard'!$B$8</c:f>
              <c:strCache>
                <c:ptCount val="1"/>
                <c:pt idx="0">
                  <c:v>V
(item-level)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'11. Coverage Dashboard'!$A$9:$A$15</c:f>
              <c:strCache>
                <c:ptCount val="7"/>
                <c:pt idx="0">
                  <c:v>HKCS 2025 (HS)</c:v>
                </c:pt>
                <c:pt idx="1">
                  <c:v>EPSD Panorama SEL</c:v>
                </c:pt>
                <c:pt idx="2">
                  <c:v>EPSD CO-SPS (Elem.)</c:v>
                </c:pt>
                <c:pt idx="3">
                  <c:v>EPSD CO-SPS (HS)</c:v>
                </c:pt>
                <c:pt idx="4">
                  <c:v>PSD Connections (Sec.)</c:v>
                </c:pt>
                <c:pt idx="5">
                  <c:v>PSD Connections (Elem.)</c:v>
                </c:pt>
                <c:pt idx="6">
                  <c:v>TSD Panorama SEL (S&amp;E)</c:v>
                </c:pt>
              </c:strCache>
            </c:strRef>
          </c:cat>
          <c:val>
            <c:numRef>
              <c:f>'11. Coverage Dashboard'!$B$9:$B$15</c:f>
              <c:numCache>
                <c:formatCode>General</c:formatCode>
                <c:ptCount val="7"/>
                <c:pt idx="0">
                  <c:v>8</c:v>
                </c:pt>
                <c:pt idx="1">
                  <c:v>0</c:v>
                </c:pt>
                <c:pt idx="2">
                  <c:v>2</c:v>
                </c:pt>
                <c:pt idx="3">
                  <c:v>2</c:v>
                </c:pt>
                <c:pt idx="4">
                  <c:v>1</c:v>
                </c:pt>
                <c:pt idx="5">
                  <c:v>1</c:v>
                </c:pt>
                <c:pt idx="6">
                  <c:v>0</c:v>
                </c:pt>
              </c:numCache>
            </c:numRef>
          </c:val>
          <c:extLst>
            <c:ext xmlns:c16="http://schemas.microsoft.com/office/drawing/2014/chart" uri="{C3380CC4-5D6E-409C-BE32-E72D297353CC}">
              <c16:uniqueId val="{00000000-E0AD-454C-8628-7E690A2F7C5D}"/>
            </c:ext>
          </c:extLst>
        </c:ser>
        <c:ser>
          <c:idx val="1"/>
          <c:order val="1"/>
          <c:tx>
            <c:strRef>
              <c:f>'11. Coverage Dashboard'!$C$8</c:f>
              <c:strCache>
                <c:ptCount val="1"/>
                <c:pt idx="0">
                  <c:v>W
(wording, scale-divergent)</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'11. Coverage Dashboard'!$A$9:$A$15</c:f>
              <c:strCache>
                <c:ptCount val="7"/>
                <c:pt idx="0">
                  <c:v>HKCS 2025 (HS)</c:v>
                </c:pt>
                <c:pt idx="1">
                  <c:v>EPSD Panorama SEL</c:v>
                </c:pt>
                <c:pt idx="2">
                  <c:v>EPSD CO-SPS (Elem.)</c:v>
                </c:pt>
                <c:pt idx="3">
                  <c:v>EPSD CO-SPS (HS)</c:v>
                </c:pt>
                <c:pt idx="4">
                  <c:v>PSD Connections (Sec.)</c:v>
                </c:pt>
                <c:pt idx="5">
                  <c:v>PSD Connections (Elem.)</c:v>
                </c:pt>
                <c:pt idx="6">
                  <c:v>TSD Panorama SEL (S&amp;E)</c:v>
                </c:pt>
              </c:strCache>
            </c:strRef>
          </c:cat>
          <c:val>
            <c:numRef>
              <c:f>'11. Coverage Dashboard'!$C$9:$C$15</c:f>
              <c:numCache>
                <c:formatCode>General</c:formatCode>
                <c:ptCount val="7"/>
                <c:pt idx="0">
                  <c:v>3</c:v>
                </c:pt>
                <c:pt idx="1">
                  <c:v>0</c:v>
                </c:pt>
                <c:pt idx="2">
                  <c:v>0</c:v>
                </c:pt>
                <c:pt idx="3">
                  <c:v>0</c:v>
                </c:pt>
                <c:pt idx="4">
                  <c:v>3</c:v>
                </c:pt>
                <c:pt idx="5">
                  <c:v>3</c:v>
                </c:pt>
                <c:pt idx="6">
                  <c:v>2</c:v>
                </c:pt>
              </c:numCache>
            </c:numRef>
          </c:val>
          <c:extLst>
            <c:ext xmlns:c16="http://schemas.microsoft.com/office/drawing/2014/chart" uri="{C3380CC4-5D6E-409C-BE32-E72D297353CC}">
              <c16:uniqueId val="{00000001-E0AD-454C-8628-7E690A2F7C5D}"/>
            </c:ext>
          </c:extLst>
        </c:ser>
        <c:ser>
          <c:idx val="2"/>
          <c:order val="2"/>
          <c:tx>
            <c:strRef>
              <c:f>'11. Coverage Dashboard'!$D$8</c:f>
              <c:strCache>
                <c:ptCount val="1"/>
                <c:pt idx="0">
                  <c:v>C
(construct-level)</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'11. Coverage Dashboard'!$A$9:$A$15</c:f>
              <c:strCache>
                <c:ptCount val="7"/>
                <c:pt idx="0">
                  <c:v>HKCS 2025 (HS)</c:v>
                </c:pt>
                <c:pt idx="1">
                  <c:v>EPSD Panorama SEL</c:v>
                </c:pt>
                <c:pt idx="2">
                  <c:v>EPSD CO-SPS (Elem.)</c:v>
                </c:pt>
                <c:pt idx="3">
                  <c:v>EPSD CO-SPS (HS)</c:v>
                </c:pt>
                <c:pt idx="4">
                  <c:v>PSD Connections (Sec.)</c:v>
                </c:pt>
                <c:pt idx="5">
                  <c:v>PSD Connections (Elem.)</c:v>
                </c:pt>
                <c:pt idx="6">
                  <c:v>TSD Panorama SEL (S&amp;E)</c:v>
                </c:pt>
              </c:strCache>
            </c:strRef>
          </c:cat>
          <c:val>
            <c:numRef>
              <c:f>'11. Coverage Dashboard'!$D$9:$D$15</c:f>
              <c:numCache>
                <c:formatCode>General</c:formatCode>
                <c:ptCount val="7"/>
                <c:pt idx="0">
                  <c:v>7</c:v>
                </c:pt>
                <c:pt idx="1">
                  <c:v>5</c:v>
                </c:pt>
                <c:pt idx="2">
                  <c:v>2</c:v>
                </c:pt>
                <c:pt idx="3">
                  <c:v>2</c:v>
                </c:pt>
                <c:pt idx="4">
                  <c:v>11</c:v>
                </c:pt>
                <c:pt idx="5">
                  <c:v>12</c:v>
                </c:pt>
                <c:pt idx="6">
                  <c:v>6</c:v>
                </c:pt>
              </c:numCache>
            </c:numRef>
          </c:val>
          <c:extLst>
            <c:ext xmlns:c16="http://schemas.microsoft.com/office/drawing/2014/chart" uri="{C3380CC4-5D6E-409C-BE32-E72D297353CC}">
              <c16:uniqueId val="{00000002-E0AD-454C-8628-7E690A2F7C5D}"/>
            </c:ext>
          </c:extLst>
        </c:ser>
        <c:ser>
          <c:idx val="3"/>
          <c:order val="3"/>
          <c:tx>
            <c:strRef>
              <c:f>'11. Coverage Dashboard'!$E$8</c:f>
              <c:strCache>
                <c:ptCount val="1"/>
                <c:pt idx="0">
                  <c:v>R
(related only)</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'11. Coverage Dashboard'!$A$9:$A$15</c:f>
              <c:strCache>
                <c:ptCount val="7"/>
                <c:pt idx="0">
                  <c:v>HKCS 2025 (HS)</c:v>
                </c:pt>
                <c:pt idx="1">
                  <c:v>EPSD Panorama SEL</c:v>
                </c:pt>
                <c:pt idx="2">
                  <c:v>EPSD CO-SPS (Elem.)</c:v>
                </c:pt>
                <c:pt idx="3">
                  <c:v>EPSD CO-SPS (HS)</c:v>
                </c:pt>
                <c:pt idx="4">
                  <c:v>PSD Connections (Sec.)</c:v>
                </c:pt>
                <c:pt idx="5">
                  <c:v>PSD Connections (Elem.)</c:v>
                </c:pt>
                <c:pt idx="6">
                  <c:v>TSD Panorama SEL (S&amp;E)</c:v>
                </c:pt>
              </c:strCache>
            </c:strRef>
          </c:cat>
          <c:val>
            <c:numRef>
              <c:f>'11. Coverage Dashboard'!$E$9:$E$15</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03-E0AD-454C-8628-7E690A2F7C5D}"/>
            </c:ext>
          </c:extLst>
        </c:ser>
        <c:dLbls>
          <c:showLegendKey val="0"/>
          <c:showVal val="0"/>
          <c:showCatName val="0"/>
          <c:showSerName val="0"/>
          <c:showPercent val="0"/>
          <c:showBubbleSize val="0"/>
        </c:dLbls>
        <c:gapWidth val="150"/>
        <c:overlap val="100"/>
        <c:axId val="91886742"/>
        <c:axId val="14576283"/>
      </c:barChart>
      <c:catAx>
        <c:axId val="9188674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576283"/>
        <c:crosses val="autoZero"/>
        <c:auto val="1"/>
        <c:lblAlgn val="ctr"/>
        <c:lblOffset val="100"/>
        <c:noMultiLvlLbl val="0"/>
      </c:catAx>
      <c:valAx>
        <c:axId val="1457628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constructs (of 37)</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867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5</xdr:col>
      <xdr:colOff>699120</xdr:colOff>
      <xdr:row>35</xdr:row>
      <xdr:rowOff>360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showGridLines="0" topLeftCell="A42" zoomScaleNormal="100" workbookViewId="0">
      <selection activeCell="A3" sqref="A3"/>
    </sheetView>
  </sheetViews>
  <sheetFormatPr defaultColWidth="8.5703125" defaultRowHeight="15" x14ac:dyDescent="0.25"/>
  <cols>
    <col min="1" max="1" width="28" customWidth="1"/>
    <col min="2" max="2" width="90" customWidth="1"/>
    <col min="3" max="6" width="14" customWidth="1"/>
  </cols>
  <sheetData>
    <row r="1" spans="1:6" ht="27.75" customHeight="1" x14ac:dyDescent="0.25">
      <c r="A1" s="12" t="s">
        <v>0</v>
      </c>
      <c r="B1" s="12"/>
      <c r="C1" s="12"/>
      <c r="D1" s="12"/>
      <c r="E1" s="12"/>
      <c r="F1" s="12"/>
    </row>
    <row r="2" spans="1:6" ht="18" customHeight="1" x14ac:dyDescent="0.25">
      <c r="A2" s="11" t="s">
        <v>1</v>
      </c>
      <c r="B2" s="11"/>
      <c r="C2" s="11"/>
      <c r="D2" s="11"/>
      <c r="E2" s="11"/>
      <c r="F2" s="11"/>
    </row>
    <row r="3" spans="1:6" ht="15" customHeight="1" x14ac:dyDescent="0.25">
      <c r="A3" s="13" t="s">
        <v>2</v>
      </c>
    </row>
    <row r="4" spans="1:6" ht="15" customHeight="1" x14ac:dyDescent="0.25">
      <c r="A4" s="10" t="s">
        <v>3</v>
      </c>
      <c r="B4" s="10"/>
      <c r="C4" s="10"/>
      <c r="D4" s="10"/>
      <c r="E4" s="10"/>
      <c r="F4" s="10"/>
    </row>
    <row r="5" spans="1:6" ht="15" customHeight="1" x14ac:dyDescent="0.25">
      <c r="A5" s="10"/>
      <c r="B5" s="10"/>
      <c r="C5" s="10"/>
      <c r="D5" s="10"/>
      <c r="E5" s="10"/>
      <c r="F5" s="10"/>
    </row>
    <row r="6" spans="1:6" ht="15" customHeight="1" x14ac:dyDescent="0.25">
      <c r="A6" s="10"/>
      <c r="B6" s="10"/>
      <c r="C6" s="10"/>
      <c r="D6" s="10"/>
      <c r="E6" s="10"/>
      <c r="F6" s="10"/>
    </row>
    <row r="7" spans="1:6" ht="15" customHeight="1" x14ac:dyDescent="0.25">
      <c r="A7" s="10"/>
      <c r="B7" s="10"/>
      <c r="C7" s="10"/>
      <c r="D7" s="10"/>
      <c r="E7" s="10"/>
      <c r="F7" s="10"/>
    </row>
    <row r="9" spans="1:6" ht="15" customHeight="1" x14ac:dyDescent="0.25">
      <c r="A9" s="13" t="s">
        <v>4</v>
      </c>
    </row>
    <row r="10" spans="1:6" ht="15" customHeight="1" x14ac:dyDescent="0.25">
      <c r="A10" s="10" t="s">
        <v>5</v>
      </c>
      <c r="B10" s="10"/>
      <c r="C10" s="10"/>
      <c r="D10" s="10"/>
      <c r="E10" s="10"/>
      <c r="F10" s="10"/>
    </row>
    <row r="11" spans="1:6" ht="15" customHeight="1" x14ac:dyDescent="0.25">
      <c r="A11" s="10"/>
      <c r="B11" s="10"/>
      <c r="C11" s="10"/>
      <c r="D11" s="10"/>
      <c r="E11" s="10"/>
      <c r="F11" s="10"/>
    </row>
    <row r="12" spans="1:6" ht="15" customHeight="1" x14ac:dyDescent="0.25">
      <c r="A12" s="10"/>
      <c r="B12" s="10"/>
      <c r="C12" s="10"/>
      <c r="D12" s="10"/>
      <c r="E12" s="10"/>
      <c r="F12" s="10"/>
    </row>
    <row r="14" spans="1:6" ht="69.75" customHeight="1" x14ac:dyDescent="0.25">
      <c r="A14" s="14" t="s">
        <v>6</v>
      </c>
      <c r="B14" s="10" t="s">
        <v>7</v>
      </c>
      <c r="C14" s="10"/>
      <c r="D14" s="10"/>
      <c r="E14" s="10"/>
      <c r="F14" s="10"/>
    </row>
    <row r="15" spans="1:6" ht="69.75" customHeight="1" x14ac:dyDescent="0.25">
      <c r="A15" s="14" t="s">
        <v>8</v>
      </c>
      <c r="B15" s="10" t="s">
        <v>9</v>
      </c>
      <c r="C15" s="10"/>
      <c r="D15" s="10"/>
      <c r="E15" s="10"/>
      <c r="F15" s="10"/>
    </row>
    <row r="16" spans="1:6" ht="69.75" customHeight="1" x14ac:dyDescent="0.25">
      <c r="A16" s="14" t="s">
        <v>10</v>
      </c>
      <c r="B16" s="10" t="s">
        <v>11</v>
      </c>
      <c r="C16" s="10"/>
      <c r="D16" s="10"/>
      <c r="E16" s="10"/>
      <c r="F16" s="10"/>
    </row>
    <row r="18" spans="1:6" ht="15" customHeight="1" x14ac:dyDescent="0.25">
      <c r="A18" s="13" t="s">
        <v>12</v>
      </c>
    </row>
    <row r="19" spans="1:6" ht="15" customHeight="1" x14ac:dyDescent="0.25">
      <c r="A19" s="15" t="s">
        <v>13</v>
      </c>
      <c r="B19" s="9" t="s">
        <v>14</v>
      </c>
      <c r="C19" s="9"/>
      <c r="D19" s="9"/>
      <c r="E19" s="9"/>
      <c r="F19" s="9"/>
    </row>
    <row r="20" spans="1:6" ht="43.5" customHeight="1" x14ac:dyDescent="0.25">
      <c r="A20" s="16" t="s">
        <v>15</v>
      </c>
      <c r="B20" s="8" t="s">
        <v>16</v>
      </c>
      <c r="C20" s="8"/>
      <c r="D20" s="8"/>
      <c r="E20" s="8"/>
      <c r="F20" s="8"/>
    </row>
    <row r="21" spans="1:6" ht="43.5" customHeight="1" x14ac:dyDescent="0.25">
      <c r="A21" s="17" t="s">
        <v>17</v>
      </c>
      <c r="B21" s="8" t="s">
        <v>18</v>
      </c>
      <c r="C21" s="8"/>
      <c r="D21" s="8"/>
      <c r="E21" s="8"/>
      <c r="F21" s="8"/>
    </row>
    <row r="22" spans="1:6" ht="43.5" customHeight="1" x14ac:dyDescent="0.25">
      <c r="A22" s="18" t="s">
        <v>19</v>
      </c>
      <c r="B22" s="8" t="s">
        <v>20</v>
      </c>
      <c r="C22" s="8"/>
      <c r="D22" s="8"/>
      <c r="E22" s="8"/>
      <c r="F22" s="8"/>
    </row>
    <row r="23" spans="1:6" ht="43.5" customHeight="1" x14ac:dyDescent="0.25">
      <c r="A23" s="19" t="s">
        <v>21</v>
      </c>
      <c r="B23" s="8" t="s">
        <v>22</v>
      </c>
      <c r="C23" s="8"/>
      <c r="D23" s="8"/>
      <c r="E23" s="8"/>
      <c r="F23" s="8"/>
    </row>
    <row r="24" spans="1:6" ht="43.5" customHeight="1" x14ac:dyDescent="0.25">
      <c r="A24" s="20" t="s">
        <v>23</v>
      </c>
      <c r="B24" s="7" t="s">
        <v>24</v>
      </c>
      <c r="C24" s="7"/>
      <c r="D24" s="7"/>
      <c r="E24" s="7"/>
      <c r="F24" s="7"/>
    </row>
    <row r="26" spans="1:6" ht="15" customHeight="1" x14ac:dyDescent="0.25">
      <c r="A26" s="13" t="s">
        <v>25</v>
      </c>
    </row>
    <row r="27" spans="1:6" ht="15" customHeight="1" x14ac:dyDescent="0.25">
      <c r="A27" s="15" t="s">
        <v>13</v>
      </c>
      <c r="B27" s="9" t="s">
        <v>14</v>
      </c>
      <c r="C27" s="9"/>
      <c r="D27" s="9"/>
      <c r="E27" s="9"/>
      <c r="F27" s="9"/>
    </row>
    <row r="28" spans="1:6" ht="15" customHeight="1" x14ac:dyDescent="0.25">
      <c r="A28" s="21" t="s">
        <v>26</v>
      </c>
      <c r="B28" s="7" t="s">
        <v>27</v>
      </c>
      <c r="C28" s="7"/>
      <c r="D28" s="7"/>
      <c r="E28" s="7"/>
      <c r="F28" s="7"/>
    </row>
    <row r="29" spans="1:6" ht="15" customHeight="1" x14ac:dyDescent="0.25">
      <c r="A29" s="21" t="s">
        <v>28</v>
      </c>
      <c r="B29" s="7" t="s">
        <v>29</v>
      </c>
      <c r="C29" s="7"/>
      <c r="D29" s="7"/>
      <c r="E29" s="7"/>
      <c r="F29" s="7"/>
    </row>
    <row r="30" spans="1:6" ht="15" customHeight="1" x14ac:dyDescent="0.25">
      <c r="A30" s="21" t="s">
        <v>30</v>
      </c>
      <c r="B30" s="7" t="s">
        <v>31</v>
      </c>
      <c r="C30" s="7"/>
      <c r="D30" s="7"/>
      <c r="E30" s="7"/>
      <c r="F30" s="7"/>
    </row>
    <row r="31" spans="1:6" ht="15" customHeight="1" x14ac:dyDescent="0.25">
      <c r="A31" s="21" t="s">
        <v>32</v>
      </c>
      <c r="B31" s="7" t="s">
        <v>33</v>
      </c>
      <c r="C31" s="7"/>
      <c r="D31" s="7"/>
      <c r="E31" s="7"/>
      <c r="F31" s="7"/>
    </row>
    <row r="32" spans="1:6" ht="15" customHeight="1" x14ac:dyDescent="0.25">
      <c r="A32" s="21" t="s">
        <v>34</v>
      </c>
      <c r="B32" s="7" t="s">
        <v>35</v>
      </c>
      <c r="C32" s="7"/>
      <c r="D32" s="7"/>
      <c r="E32" s="7"/>
      <c r="F32" s="7"/>
    </row>
    <row r="33" spans="1:6" ht="15" customHeight="1" x14ac:dyDescent="0.25">
      <c r="A33" s="21" t="s">
        <v>36</v>
      </c>
      <c r="B33" s="7" t="s">
        <v>37</v>
      </c>
      <c r="C33" s="7"/>
      <c r="D33" s="7"/>
      <c r="E33" s="7"/>
      <c r="F33" s="7"/>
    </row>
    <row r="34" spans="1:6" ht="15" customHeight="1" x14ac:dyDescent="0.25">
      <c r="A34" s="21" t="s">
        <v>38</v>
      </c>
      <c r="B34" s="7" t="s">
        <v>39</v>
      </c>
      <c r="C34" s="7"/>
      <c r="D34" s="7"/>
      <c r="E34" s="7"/>
      <c r="F34" s="7"/>
    </row>
    <row r="35" spans="1:6" ht="15" customHeight="1" x14ac:dyDescent="0.25">
      <c r="A35" s="21" t="s">
        <v>40</v>
      </c>
      <c r="B35" s="7" t="s">
        <v>41</v>
      </c>
      <c r="C35" s="7"/>
      <c r="D35" s="7"/>
      <c r="E35" s="7"/>
      <c r="F35" s="7"/>
    </row>
    <row r="36" spans="1:6" ht="15" customHeight="1" x14ac:dyDescent="0.25">
      <c r="A36" s="21" t="s">
        <v>42</v>
      </c>
      <c r="B36" s="7" t="s">
        <v>43</v>
      </c>
      <c r="C36" s="7"/>
      <c r="D36" s="7"/>
      <c r="E36" s="7"/>
      <c r="F36" s="7"/>
    </row>
    <row r="38" spans="1:6" ht="15" customHeight="1" x14ac:dyDescent="0.25">
      <c r="A38" s="13" t="s">
        <v>44</v>
      </c>
    </row>
    <row r="39" spans="1:6" ht="15" customHeight="1" x14ac:dyDescent="0.25">
      <c r="A39" s="22" t="s">
        <v>45</v>
      </c>
      <c r="B39" s="7" t="s">
        <v>46</v>
      </c>
      <c r="C39" s="7"/>
      <c r="D39" s="7"/>
      <c r="E39" s="7"/>
      <c r="F39" s="7"/>
    </row>
    <row r="40" spans="1:6" ht="15" customHeight="1" x14ac:dyDescent="0.25">
      <c r="A40" s="22" t="s">
        <v>47</v>
      </c>
      <c r="B40" s="7" t="s">
        <v>48</v>
      </c>
      <c r="C40" s="7"/>
      <c r="D40" s="7"/>
      <c r="E40" s="7"/>
      <c r="F40" s="7"/>
    </row>
    <row r="41" spans="1:6" ht="15" customHeight="1" x14ac:dyDescent="0.25">
      <c r="A41" s="22" t="s">
        <v>49</v>
      </c>
      <c r="B41" s="7" t="s">
        <v>50</v>
      </c>
      <c r="C41" s="7"/>
      <c r="D41" s="7"/>
      <c r="E41" s="7"/>
      <c r="F41" s="7"/>
    </row>
    <row r="42" spans="1:6" ht="15" customHeight="1" x14ac:dyDescent="0.25">
      <c r="A42" s="22" t="s">
        <v>51</v>
      </c>
      <c r="B42" s="7" t="s">
        <v>52</v>
      </c>
      <c r="C42" s="7"/>
      <c r="D42" s="7"/>
      <c r="E42" s="7"/>
      <c r="F42" s="7"/>
    </row>
    <row r="43" spans="1:6" ht="15" customHeight="1" x14ac:dyDescent="0.25">
      <c r="A43" s="22" t="s">
        <v>53</v>
      </c>
      <c r="B43" s="7" t="s">
        <v>54</v>
      </c>
      <c r="C43" s="7"/>
      <c r="D43" s="7"/>
      <c r="E43" s="7"/>
      <c r="F43" s="7"/>
    </row>
    <row r="44" spans="1:6" ht="15" customHeight="1" x14ac:dyDescent="0.25">
      <c r="A44" s="22" t="s">
        <v>55</v>
      </c>
      <c r="B44" s="7" t="s">
        <v>56</v>
      </c>
      <c r="C44" s="7"/>
      <c r="D44" s="7"/>
      <c r="E44" s="7"/>
      <c r="F44" s="7"/>
    </row>
    <row r="45" spans="1:6" ht="15" customHeight="1" x14ac:dyDescent="0.25">
      <c r="A45" s="22" t="s">
        <v>57</v>
      </c>
      <c r="B45" s="7" t="s">
        <v>58</v>
      </c>
      <c r="C45" s="7"/>
      <c r="D45" s="7"/>
      <c r="E45" s="7"/>
      <c r="F45" s="7"/>
    </row>
    <row r="46" spans="1:6" ht="15" customHeight="1" x14ac:dyDescent="0.25">
      <c r="A46" s="22" t="s">
        <v>59</v>
      </c>
      <c r="B46" s="7" t="s">
        <v>60</v>
      </c>
      <c r="C46" s="7"/>
      <c r="D46" s="7"/>
      <c r="E46" s="7"/>
      <c r="F46" s="7"/>
    </row>
    <row r="47" spans="1:6" ht="15" customHeight="1" x14ac:dyDescent="0.25">
      <c r="A47" s="22" t="s">
        <v>61</v>
      </c>
      <c r="B47" s="7" t="s">
        <v>62</v>
      </c>
      <c r="C47" s="7"/>
      <c r="D47" s="7"/>
      <c r="E47" s="7"/>
      <c r="F47" s="7"/>
    </row>
    <row r="48" spans="1:6" ht="15" customHeight="1" x14ac:dyDescent="0.25">
      <c r="A48" s="22" t="s">
        <v>63</v>
      </c>
      <c r="B48" s="7" t="s">
        <v>64</v>
      </c>
      <c r="C48" s="7"/>
      <c r="D48" s="7"/>
      <c r="E48" s="7"/>
      <c r="F48" s="7"/>
    </row>
    <row r="49" spans="1:6" ht="15" customHeight="1" x14ac:dyDescent="0.25">
      <c r="A49" s="22" t="s">
        <v>65</v>
      </c>
      <c r="B49" s="7" t="s">
        <v>66</v>
      </c>
      <c r="C49" s="7"/>
      <c r="D49" s="7"/>
      <c r="E49" s="7"/>
      <c r="F49" s="7"/>
    </row>
  </sheetData>
  <mergeCells count="34">
    <mergeCell ref="B46:F46"/>
    <mergeCell ref="B47:F47"/>
    <mergeCell ref="B48:F48"/>
    <mergeCell ref="B49:F49"/>
    <mergeCell ref="B41:F41"/>
    <mergeCell ref="B42:F42"/>
    <mergeCell ref="B43:F43"/>
    <mergeCell ref="B44:F44"/>
    <mergeCell ref="B45:F45"/>
    <mergeCell ref="B34:F34"/>
    <mergeCell ref="B35:F35"/>
    <mergeCell ref="B36:F36"/>
    <mergeCell ref="B39:F39"/>
    <mergeCell ref="B40:F40"/>
    <mergeCell ref="B29:F29"/>
    <mergeCell ref="B30:F30"/>
    <mergeCell ref="B31:F31"/>
    <mergeCell ref="B32:F32"/>
    <mergeCell ref="B33:F33"/>
    <mergeCell ref="B22:F22"/>
    <mergeCell ref="B23:F23"/>
    <mergeCell ref="B24:F24"/>
    <mergeCell ref="B27:F27"/>
    <mergeCell ref="B28:F28"/>
    <mergeCell ref="B15:F15"/>
    <mergeCell ref="B16:F16"/>
    <mergeCell ref="B19:F19"/>
    <mergeCell ref="B20:F20"/>
    <mergeCell ref="B21:F21"/>
    <mergeCell ref="A1:F1"/>
    <mergeCell ref="A2:F2"/>
    <mergeCell ref="A4:F7"/>
    <mergeCell ref="A10:F12"/>
    <mergeCell ref="B14:F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tabSelected="1" topLeftCell="A5" zoomScaleNormal="100" workbookViewId="0">
      <selection activeCell="E6" sqref="E6"/>
    </sheetView>
  </sheetViews>
  <sheetFormatPr defaultColWidth="8.5703125" defaultRowHeight="15" x14ac:dyDescent="0.25"/>
  <cols>
    <col min="1" max="1" width="22" customWidth="1"/>
    <col min="2" max="2" width="40" customWidth="1"/>
    <col min="3" max="3" width="18" customWidth="1"/>
    <col min="4" max="4" width="8" customWidth="1"/>
    <col min="5" max="5" width="40" customWidth="1"/>
    <col min="6" max="6" width="42" customWidth="1"/>
  </cols>
  <sheetData>
    <row r="1" spans="1:6" ht="27.75" customHeight="1" x14ac:dyDescent="0.25">
      <c r="A1" s="12" t="s">
        <v>67</v>
      </c>
      <c r="B1" s="12"/>
      <c r="C1" s="12"/>
      <c r="D1" s="12"/>
      <c r="E1" s="12"/>
      <c r="F1" s="12"/>
    </row>
    <row r="2" spans="1:6" ht="18" customHeight="1" x14ac:dyDescent="0.25">
      <c r="A2" s="11" t="s">
        <v>68</v>
      </c>
      <c r="B2" s="11"/>
      <c r="C2" s="11"/>
      <c r="D2" s="11"/>
      <c r="E2" s="11"/>
      <c r="F2" s="11"/>
    </row>
    <row r="4" spans="1:6" ht="15" customHeight="1" x14ac:dyDescent="0.25">
      <c r="A4" s="15" t="s">
        <v>69</v>
      </c>
      <c r="B4" s="15" t="s">
        <v>70</v>
      </c>
      <c r="C4" s="15" t="s">
        <v>71</v>
      </c>
      <c r="D4" s="15" t="s">
        <v>72</v>
      </c>
      <c r="E4" s="15" t="s">
        <v>73</v>
      </c>
      <c r="F4" s="15" t="s">
        <v>74</v>
      </c>
    </row>
    <row r="5" spans="1:6" ht="109.5" customHeight="1" x14ac:dyDescent="0.25">
      <c r="A5" s="22" t="s">
        <v>75</v>
      </c>
      <c r="B5" s="23" t="s">
        <v>76</v>
      </c>
      <c r="C5" s="24" t="s">
        <v>77</v>
      </c>
      <c r="D5" s="24" t="s">
        <v>78</v>
      </c>
      <c r="E5" s="23" t="s">
        <v>729</v>
      </c>
      <c r="F5" s="23" t="s">
        <v>79</v>
      </c>
    </row>
    <row r="6" spans="1:6" ht="109.5" customHeight="1" x14ac:dyDescent="0.25">
      <c r="A6" s="22" t="s">
        <v>80</v>
      </c>
      <c r="B6" s="23" t="s">
        <v>81</v>
      </c>
      <c r="C6" s="24" t="s">
        <v>82</v>
      </c>
      <c r="D6" s="24" t="s">
        <v>78</v>
      </c>
      <c r="E6" s="23" t="s">
        <v>730</v>
      </c>
      <c r="F6" s="23" t="s">
        <v>83</v>
      </c>
    </row>
    <row r="7" spans="1:6" ht="109.5" customHeight="1" x14ac:dyDescent="0.25">
      <c r="A7" s="22" t="s">
        <v>84</v>
      </c>
      <c r="B7" s="23" t="s">
        <v>85</v>
      </c>
      <c r="C7" s="24" t="s">
        <v>86</v>
      </c>
      <c r="D7" s="24" t="s">
        <v>78</v>
      </c>
      <c r="E7" s="23" t="s">
        <v>87</v>
      </c>
      <c r="F7" s="23" t="s">
        <v>88</v>
      </c>
    </row>
    <row r="8" spans="1:6" ht="109.5" customHeight="1" x14ac:dyDescent="0.25">
      <c r="A8" s="22" t="s">
        <v>89</v>
      </c>
      <c r="B8" s="23" t="s">
        <v>90</v>
      </c>
      <c r="C8" s="24" t="s">
        <v>91</v>
      </c>
      <c r="D8" s="24" t="s">
        <v>78</v>
      </c>
      <c r="E8" s="23" t="s">
        <v>92</v>
      </c>
      <c r="F8" s="23" t="s">
        <v>93</v>
      </c>
    </row>
    <row r="9" spans="1:6" ht="109.5" customHeight="1" x14ac:dyDescent="0.25">
      <c r="A9" s="22" t="s">
        <v>94</v>
      </c>
      <c r="B9" s="23" t="s">
        <v>95</v>
      </c>
      <c r="C9" s="24" t="s">
        <v>96</v>
      </c>
      <c r="D9" s="24" t="s">
        <v>97</v>
      </c>
      <c r="E9" s="23" t="s">
        <v>98</v>
      </c>
      <c r="F9" s="23" t="s">
        <v>99</v>
      </c>
    </row>
    <row r="10" spans="1:6" ht="109.5" customHeight="1" x14ac:dyDescent="0.25">
      <c r="A10" s="22" t="s">
        <v>100</v>
      </c>
      <c r="B10" s="23" t="s">
        <v>101</v>
      </c>
      <c r="C10" s="24" t="s">
        <v>86</v>
      </c>
      <c r="D10" s="24" t="s">
        <v>97</v>
      </c>
      <c r="E10" s="23" t="s">
        <v>102</v>
      </c>
      <c r="F10" s="23" t="s">
        <v>103</v>
      </c>
    </row>
    <row r="11" spans="1:6" ht="109.5" customHeight="1" x14ac:dyDescent="0.25">
      <c r="A11" s="22" t="s">
        <v>104</v>
      </c>
      <c r="B11" s="23" t="s">
        <v>105</v>
      </c>
      <c r="C11" s="24" t="s">
        <v>106</v>
      </c>
      <c r="D11" s="24" t="s">
        <v>78</v>
      </c>
      <c r="E11" s="23" t="s">
        <v>107</v>
      </c>
      <c r="F11" s="23" t="s">
        <v>108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1"/>
  <sheetViews>
    <sheetView showGridLines="0" zoomScaleNormal="100" workbookViewId="0">
      <pane xSplit="2" ySplit="4" topLeftCell="C26" activePane="bottomRight" state="frozen"/>
      <selection pane="topRight" activeCell="C1" sqref="C1"/>
      <selection pane="bottomLeft" activeCell="A5" sqref="A5"/>
      <selection pane="bottomRight" activeCell="B38" sqref="B38"/>
    </sheetView>
  </sheetViews>
  <sheetFormatPr defaultColWidth="8.5703125" defaultRowHeight="15" x14ac:dyDescent="0.25"/>
  <cols>
    <col min="1" max="1" width="14" customWidth="1"/>
    <col min="2" max="2" width="44" customWidth="1"/>
    <col min="3" max="9" width="17" customWidth="1"/>
  </cols>
  <sheetData>
    <row r="1" spans="1:9" ht="27.75" customHeight="1" x14ac:dyDescent="0.25">
      <c r="A1" s="12" t="s">
        <v>109</v>
      </c>
      <c r="B1" s="12"/>
      <c r="C1" s="12"/>
      <c r="D1" s="12"/>
      <c r="E1" s="12"/>
      <c r="F1" s="12"/>
      <c r="G1" s="12"/>
      <c r="H1" s="12"/>
      <c r="I1" s="12"/>
    </row>
    <row r="2" spans="1:9" ht="18" customHeight="1" x14ac:dyDescent="0.25">
      <c r="A2" s="11" t="s">
        <v>110</v>
      </c>
      <c r="B2" s="11"/>
      <c r="C2" s="11"/>
      <c r="D2" s="11"/>
      <c r="E2" s="11"/>
      <c r="F2" s="11"/>
      <c r="G2" s="11"/>
      <c r="H2" s="11"/>
      <c r="I2" s="11"/>
    </row>
    <row r="4" spans="1:9" ht="31.5" customHeight="1" x14ac:dyDescent="0.25">
      <c r="A4" s="15" t="s">
        <v>111</v>
      </c>
      <c r="B4" s="15" t="s">
        <v>112</v>
      </c>
      <c r="C4" s="15" t="s">
        <v>75</v>
      </c>
      <c r="D4" s="15" t="s">
        <v>80</v>
      </c>
      <c r="E4" s="15" t="s">
        <v>84</v>
      </c>
      <c r="F4" s="15" t="s">
        <v>89</v>
      </c>
      <c r="G4" s="15" t="s">
        <v>94</v>
      </c>
      <c r="H4" s="15" t="s">
        <v>100</v>
      </c>
      <c r="I4" s="15" t="s">
        <v>104</v>
      </c>
    </row>
    <row r="5" spans="1:9" ht="45.75" customHeight="1" x14ac:dyDescent="0.25">
      <c r="A5" s="6" t="s">
        <v>113</v>
      </c>
      <c r="B5" s="23" t="s">
        <v>114</v>
      </c>
      <c r="C5" s="25" t="s">
        <v>115</v>
      </c>
      <c r="D5" s="25" t="s">
        <v>116</v>
      </c>
      <c r="E5" s="26"/>
      <c r="F5" s="26"/>
      <c r="G5" s="27" t="s">
        <v>117</v>
      </c>
      <c r="H5" s="27" t="s">
        <v>117</v>
      </c>
      <c r="I5" s="26"/>
    </row>
    <row r="6" spans="1:9" ht="45.75" customHeight="1" x14ac:dyDescent="0.25">
      <c r="A6" s="6"/>
      <c r="B6" s="23" t="s">
        <v>118</v>
      </c>
      <c r="C6" s="27" t="s">
        <v>119</v>
      </c>
      <c r="D6" s="26"/>
      <c r="E6" s="26"/>
      <c r="F6" s="26"/>
      <c r="G6" s="26"/>
      <c r="H6" s="26"/>
      <c r="I6" s="26"/>
    </row>
    <row r="7" spans="1:9" ht="45.75" customHeight="1" x14ac:dyDescent="0.25">
      <c r="A7" s="6"/>
      <c r="B7" s="23" t="s">
        <v>120</v>
      </c>
      <c r="C7" s="26"/>
      <c r="D7" s="25" t="s">
        <v>121</v>
      </c>
      <c r="E7" s="26"/>
      <c r="F7" s="26"/>
      <c r="G7" s="26"/>
      <c r="H7" s="26"/>
      <c r="I7" s="26"/>
    </row>
    <row r="8" spans="1:9" ht="45.75" customHeight="1" x14ac:dyDescent="0.25">
      <c r="A8" s="6"/>
      <c r="B8" s="23" t="s">
        <v>122</v>
      </c>
      <c r="C8" s="25" t="s">
        <v>123</v>
      </c>
      <c r="D8" s="25" t="s">
        <v>124</v>
      </c>
      <c r="E8" s="26"/>
      <c r="F8" s="26"/>
      <c r="G8" s="25" t="s">
        <v>125</v>
      </c>
      <c r="H8" s="25" t="s">
        <v>125</v>
      </c>
      <c r="I8" s="26"/>
    </row>
    <row r="9" spans="1:9" ht="45.75" customHeight="1" x14ac:dyDescent="0.25">
      <c r="A9" s="6"/>
      <c r="B9" s="23" t="s">
        <v>126</v>
      </c>
      <c r="C9" s="26"/>
      <c r="D9" s="26"/>
      <c r="E9" s="25" t="s">
        <v>127</v>
      </c>
      <c r="F9" s="26"/>
      <c r="G9" s="26"/>
      <c r="H9" s="26"/>
      <c r="I9" s="25" t="s">
        <v>128</v>
      </c>
    </row>
    <row r="10" spans="1:9" ht="45.75" customHeight="1" x14ac:dyDescent="0.25">
      <c r="A10" s="6"/>
      <c r="B10" s="23" t="s">
        <v>129</v>
      </c>
      <c r="C10" s="26"/>
      <c r="D10" s="26"/>
      <c r="E10" s="27" t="s">
        <v>130</v>
      </c>
      <c r="F10" s="27" t="s">
        <v>131</v>
      </c>
      <c r="G10" s="25" t="s">
        <v>132</v>
      </c>
      <c r="H10" s="25" t="s">
        <v>132</v>
      </c>
      <c r="I10" s="26"/>
    </row>
    <row r="11" spans="1:9" ht="45.75" customHeight="1" x14ac:dyDescent="0.25">
      <c r="A11" s="6"/>
      <c r="B11" s="23" t="s">
        <v>133</v>
      </c>
      <c r="C11" s="26"/>
      <c r="D11" s="26"/>
      <c r="E11" s="26"/>
      <c r="F11" s="26"/>
      <c r="G11" s="25" t="s">
        <v>134</v>
      </c>
      <c r="H11" s="25" t="s">
        <v>134</v>
      </c>
      <c r="I11" s="25" t="s">
        <v>135</v>
      </c>
    </row>
    <row r="12" spans="1:9" ht="45.75" customHeight="1" x14ac:dyDescent="0.25">
      <c r="A12" s="6"/>
      <c r="B12" s="23" t="s">
        <v>136</v>
      </c>
      <c r="C12" s="26"/>
      <c r="D12" s="26"/>
      <c r="E12" s="26"/>
      <c r="F12" s="26"/>
      <c r="G12" s="28" t="s">
        <v>23</v>
      </c>
      <c r="H12" s="28" t="s">
        <v>23</v>
      </c>
      <c r="I12" s="26"/>
    </row>
    <row r="13" spans="1:9" ht="45.75" customHeight="1" x14ac:dyDescent="0.25">
      <c r="A13" s="6"/>
      <c r="B13" s="23" t="s">
        <v>137</v>
      </c>
      <c r="C13" s="26"/>
      <c r="D13" s="26"/>
      <c r="E13" s="26"/>
      <c r="F13" s="25" t="s">
        <v>138</v>
      </c>
      <c r="G13" s="25" t="s">
        <v>139</v>
      </c>
      <c r="H13" s="25" t="s">
        <v>139</v>
      </c>
      <c r="I13" s="25" t="s">
        <v>140</v>
      </c>
    </row>
    <row r="14" spans="1:9" ht="45.75" customHeight="1" x14ac:dyDescent="0.25">
      <c r="A14" s="6" t="s">
        <v>141</v>
      </c>
      <c r="B14" s="23" t="s">
        <v>142</v>
      </c>
      <c r="C14" s="29" t="s">
        <v>143</v>
      </c>
      <c r="D14" s="26"/>
      <c r="E14" s="26"/>
      <c r="F14" s="26"/>
      <c r="G14" s="29" t="s">
        <v>144</v>
      </c>
      <c r="H14" s="29" t="s">
        <v>144</v>
      </c>
      <c r="I14" s="29" t="s">
        <v>145</v>
      </c>
    </row>
    <row r="15" spans="1:9" ht="45.75" customHeight="1" x14ac:dyDescent="0.25">
      <c r="A15" s="6"/>
      <c r="B15" s="23" t="s">
        <v>146</v>
      </c>
      <c r="C15" s="26"/>
      <c r="D15" s="26"/>
      <c r="E15" s="27" t="s">
        <v>147</v>
      </c>
      <c r="F15" s="27" t="s">
        <v>148</v>
      </c>
      <c r="G15" s="26"/>
      <c r="H15" s="26"/>
      <c r="I15" s="26"/>
    </row>
    <row r="16" spans="1:9" ht="45.75" customHeight="1" x14ac:dyDescent="0.25">
      <c r="A16" s="6"/>
      <c r="B16" s="23" t="s">
        <v>149</v>
      </c>
      <c r="C16" s="26"/>
      <c r="D16" s="26"/>
      <c r="E16" s="30" t="s">
        <v>150</v>
      </c>
      <c r="F16" s="26"/>
      <c r="G16" s="26"/>
      <c r="H16" s="26"/>
      <c r="I16" s="26"/>
    </row>
    <row r="17" spans="1:9" ht="45.75" customHeight="1" x14ac:dyDescent="0.25">
      <c r="A17" s="6"/>
      <c r="B17" s="23" t="s">
        <v>151</v>
      </c>
      <c r="C17" s="29" t="s">
        <v>152</v>
      </c>
      <c r="D17" s="26"/>
      <c r="E17" s="26"/>
      <c r="F17" s="26"/>
      <c r="G17" s="29" t="s">
        <v>153</v>
      </c>
      <c r="H17" s="29" t="s">
        <v>153</v>
      </c>
      <c r="I17" s="29" t="s">
        <v>154</v>
      </c>
    </row>
    <row r="18" spans="1:9" ht="45.75" customHeight="1" x14ac:dyDescent="0.25">
      <c r="A18" s="6"/>
      <c r="B18" s="23" t="s">
        <v>155</v>
      </c>
      <c r="C18" s="26"/>
      <c r="D18" s="26"/>
      <c r="E18" s="26"/>
      <c r="F18" s="26"/>
      <c r="G18" s="25" t="s">
        <v>156</v>
      </c>
      <c r="H18" s="25" t="s">
        <v>156</v>
      </c>
      <c r="I18" s="25" t="s">
        <v>157</v>
      </c>
    </row>
    <row r="19" spans="1:9" ht="45.75" customHeight="1" x14ac:dyDescent="0.25">
      <c r="A19" s="6"/>
      <c r="B19" s="23" t="s">
        <v>158</v>
      </c>
      <c r="C19" s="26"/>
      <c r="D19" s="26"/>
      <c r="E19" s="25" t="s">
        <v>159</v>
      </c>
      <c r="F19" s="25" t="s">
        <v>160</v>
      </c>
      <c r="G19" s="26"/>
      <c r="H19" s="26"/>
      <c r="I19" s="26"/>
    </row>
    <row r="20" spans="1:9" ht="45.75" customHeight="1" x14ac:dyDescent="0.25">
      <c r="A20" s="6"/>
      <c r="B20" s="23" t="s">
        <v>161</v>
      </c>
      <c r="C20" s="25" t="s">
        <v>162</v>
      </c>
      <c r="D20" s="26"/>
      <c r="E20" s="26"/>
      <c r="F20" s="26"/>
      <c r="G20" s="26"/>
      <c r="H20" s="26"/>
      <c r="I20" s="25" t="s">
        <v>163</v>
      </c>
    </row>
    <row r="21" spans="1:9" ht="45.75" customHeight="1" x14ac:dyDescent="0.25">
      <c r="A21" s="6"/>
      <c r="B21" s="23" t="s">
        <v>164</v>
      </c>
      <c r="C21" s="25" t="s">
        <v>165</v>
      </c>
      <c r="D21" s="26"/>
      <c r="E21" s="26"/>
      <c r="F21" s="26"/>
      <c r="G21" s="26"/>
      <c r="H21" s="26"/>
      <c r="I21" s="25" t="s">
        <v>166</v>
      </c>
    </row>
    <row r="22" spans="1:9" ht="45.75" customHeight="1" x14ac:dyDescent="0.25">
      <c r="A22" s="6" t="s">
        <v>167</v>
      </c>
      <c r="B22" s="23" t="s">
        <v>168</v>
      </c>
      <c r="C22" s="27" t="s">
        <v>169</v>
      </c>
      <c r="D22" s="28" t="s">
        <v>23</v>
      </c>
      <c r="E22" s="28" t="s">
        <v>23</v>
      </c>
      <c r="F22" s="28" t="s">
        <v>23</v>
      </c>
      <c r="G22" s="28" t="s">
        <v>23</v>
      </c>
      <c r="H22" s="28" t="s">
        <v>23</v>
      </c>
      <c r="I22" s="28" t="s">
        <v>23</v>
      </c>
    </row>
    <row r="23" spans="1:9" ht="45.75" customHeight="1" x14ac:dyDescent="0.25">
      <c r="A23" s="6"/>
      <c r="B23" s="23" t="s">
        <v>170</v>
      </c>
      <c r="C23" s="27" t="s">
        <v>171</v>
      </c>
      <c r="D23" s="26"/>
      <c r="E23" s="26"/>
      <c r="F23" s="26"/>
      <c r="G23" s="26"/>
      <c r="H23" s="26"/>
      <c r="I23" s="26"/>
    </row>
    <row r="24" spans="1:9" ht="45.75" customHeight="1" x14ac:dyDescent="0.25">
      <c r="A24" s="6"/>
      <c r="B24" s="23" t="s">
        <v>172</v>
      </c>
      <c r="C24" s="27" t="s">
        <v>173</v>
      </c>
      <c r="D24" s="26"/>
      <c r="E24" s="26"/>
      <c r="F24" s="26"/>
      <c r="G24" s="26"/>
      <c r="H24" s="26"/>
      <c r="I24" s="26"/>
    </row>
    <row r="25" spans="1:9" ht="45.75" customHeight="1" x14ac:dyDescent="0.25">
      <c r="A25" s="6"/>
      <c r="B25" s="23" t="s">
        <v>174</v>
      </c>
      <c r="C25" s="27" t="s">
        <v>175</v>
      </c>
      <c r="D25" s="26"/>
      <c r="E25" s="26"/>
      <c r="F25" s="26"/>
      <c r="G25" s="26"/>
      <c r="H25" s="26"/>
      <c r="I25" s="26"/>
    </row>
    <row r="26" spans="1:9" ht="45.75" customHeight="1" x14ac:dyDescent="0.25">
      <c r="A26" s="6"/>
      <c r="B26" s="23" t="s">
        <v>176</v>
      </c>
      <c r="C26" s="27" t="s">
        <v>177</v>
      </c>
      <c r="D26" s="26"/>
      <c r="E26" s="26"/>
      <c r="F26" s="26"/>
      <c r="G26" s="26"/>
      <c r="H26" s="26"/>
      <c r="I26" s="26"/>
    </row>
    <row r="27" spans="1:9" ht="45.75" customHeight="1" x14ac:dyDescent="0.25">
      <c r="A27" s="6"/>
      <c r="B27" s="23" t="s">
        <v>178</v>
      </c>
      <c r="C27" s="27" t="s">
        <v>179</v>
      </c>
      <c r="D27" s="26"/>
      <c r="E27" s="26"/>
      <c r="F27" s="26"/>
      <c r="G27" s="26"/>
      <c r="H27" s="26"/>
      <c r="I27" s="26"/>
    </row>
    <row r="28" spans="1:9" ht="45.75" customHeight="1" x14ac:dyDescent="0.25">
      <c r="A28" s="6"/>
      <c r="B28" s="23" t="s">
        <v>180</v>
      </c>
      <c r="C28" s="29" t="s">
        <v>181</v>
      </c>
      <c r="D28" s="26"/>
      <c r="E28" s="26"/>
      <c r="F28" s="26"/>
      <c r="G28" s="29" t="s">
        <v>182</v>
      </c>
      <c r="H28" s="29" t="s">
        <v>182</v>
      </c>
      <c r="I28" s="26"/>
    </row>
    <row r="29" spans="1:9" ht="45.75" customHeight="1" x14ac:dyDescent="0.25">
      <c r="A29" s="6"/>
      <c r="B29" s="23" t="s">
        <v>183</v>
      </c>
      <c r="C29" s="25" t="s">
        <v>184</v>
      </c>
      <c r="D29" s="26"/>
      <c r="E29" s="26"/>
      <c r="F29" s="26"/>
      <c r="G29" s="26"/>
      <c r="H29" s="25" t="s">
        <v>185</v>
      </c>
      <c r="I29" s="26"/>
    </row>
    <row r="30" spans="1:9" ht="45.75" customHeight="1" x14ac:dyDescent="0.25">
      <c r="A30" s="6"/>
      <c r="B30" s="23" t="s">
        <v>186</v>
      </c>
      <c r="C30" s="26"/>
      <c r="D30" s="26"/>
      <c r="E30" s="26"/>
      <c r="F30" s="26"/>
      <c r="G30" s="28" t="s">
        <v>23</v>
      </c>
      <c r="H30" s="26"/>
      <c r="I30" s="26"/>
    </row>
    <row r="31" spans="1:9" ht="45.75" customHeight="1" x14ac:dyDescent="0.25">
      <c r="A31" s="6"/>
      <c r="B31" s="23" t="s">
        <v>187</v>
      </c>
      <c r="C31" s="28" t="s">
        <v>23</v>
      </c>
      <c r="D31" s="26"/>
      <c r="E31" s="26"/>
      <c r="F31" s="26"/>
      <c r="G31" s="26"/>
      <c r="H31" s="26"/>
      <c r="I31" s="26"/>
    </row>
    <row r="32" spans="1:9" ht="45.75" customHeight="1" x14ac:dyDescent="0.25">
      <c r="A32" s="6" t="s">
        <v>188</v>
      </c>
      <c r="B32" s="23" t="s">
        <v>189</v>
      </c>
      <c r="C32" s="26"/>
      <c r="D32" s="25" t="s">
        <v>190</v>
      </c>
      <c r="E32" s="26"/>
      <c r="F32" s="26"/>
      <c r="G32" s="25" t="s">
        <v>191</v>
      </c>
      <c r="H32" s="25" t="s">
        <v>191</v>
      </c>
      <c r="I32" s="26"/>
    </row>
    <row r="33" spans="1:9" ht="45.75" customHeight="1" x14ac:dyDescent="0.25">
      <c r="A33" s="6"/>
      <c r="B33" s="23" t="s">
        <v>192</v>
      </c>
      <c r="C33" s="26"/>
      <c r="D33" s="25" t="s">
        <v>193</v>
      </c>
      <c r="E33" s="26"/>
      <c r="F33" s="26"/>
      <c r="G33" s="25" t="s">
        <v>194</v>
      </c>
      <c r="H33" s="25" t="s">
        <v>194</v>
      </c>
      <c r="I33" s="26"/>
    </row>
    <row r="34" spans="1:9" ht="45.75" customHeight="1" x14ac:dyDescent="0.25">
      <c r="A34" s="6"/>
      <c r="B34" s="23" t="s">
        <v>195</v>
      </c>
      <c r="C34" s="26"/>
      <c r="D34" s="26"/>
      <c r="E34" s="26"/>
      <c r="F34" s="26"/>
      <c r="G34" s="28" t="s">
        <v>23</v>
      </c>
      <c r="H34" s="28" t="s">
        <v>23</v>
      </c>
      <c r="I34" s="26"/>
    </row>
    <row r="35" spans="1:9" ht="45.75" customHeight="1" x14ac:dyDescent="0.25">
      <c r="A35" s="6"/>
      <c r="B35" s="23" t="s">
        <v>196</v>
      </c>
      <c r="C35" s="26"/>
      <c r="D35" s="26"/>
      <c r="E35" s="26"/>
      <c r="F35" s="26"/>
      <c r="G35" s="25" t="s">
        <v>197</v>
      </c>
      <c r="H35" s="25" t="s">
        <v>197</v>
      </c>
      <c r="I35" s="26"/>
    </row>
    <row r="36" spans="1:9" ht="45.75" customHeight="1" x14ac:dyDescent="0.25">
      <c r="A36" s="6"/>
      <c r="B36" s="23" t="s">
        <v>198</v>
      </c>
      <c r="C36" s="26"/>
      <c r="D36" s="26"/>
      <c r="E36" s="26"/>
      <c r="F36" s="26"/>
      <c r="G36" s="25" t="s">
        <v>199</v>
      </c>
      <c r="H36" s="25" t="s">
        <v>199</v>
      </c>
      <c r="I36" s="26"/>
    </row>
    <row r="37" spans="1:9" ht="45.75" customHeight="1" x14ac:dyDescent="0.25">
      <c r="A37" s="6"/>
      <c r="B37" s="23" t="s">
        <v>200</v>
      </c>
      <c r="C37" s="26"/>
      <c r="D37" s="28" t="s">
        <v>23</v>
      </c>
      <c r="E37" s="26"/>
      <c r="F37" s="26"/>
      <c r="G37" s="26"/>
      <c r="H37" s="26"/>
      <c r="I37" s="26"/>
    </row>
    <row r="38" spans="1:9" ht="45.75" customHeight="1" x14ac:dyDescent="0.25">
      <c r="A38" s="6" t="s">
        <v>201</v>
      </c>
      <c r="B38" s="23" t="s">
        <v>202</v>
      </c>
      <c r="C38" s="27" t="s">
        <v>203</v>
      </c>
      <c r="D38" s="26"/>
      <c r="E38" s="26"/>
      <c r="F38" s="26"/>
      <c r="G38" s="26"/>
      <c r="H38" s="26"/>
      <c r="I38" s="26"/>
    </row>
    <row r="39" spans="1:9" ht="45.75" customHeight="1" x14ac:dyDescent="0.25">
      <c r="A39" s="6"/>
      <c r="B39" s="23" t="s">
        <v>204</v>
      </c>
      <c r="C39" s="25" t="s">
        <v>205</v>
      </c>
      <c r="D39" s="26"/>
      <c r="E39" s="26"/>
      <c r="F39" s="26"/>
      <c r="G39" s="25" t="s">
        <v>206</v>
      </c>
      <c r="H39" s="25" t="s">
        <v>206</v>
      </c>
      <c r="I39" s="26"/>
    </row>
    <row r="40" spans="1:9" ht="45.75" customHeight="1" x14ac:dyDescent="0.25">
      <c r="A40" s="6"/>
      <c r="B40" s="23" t="s">
        <v>207</v>
      </c>
      <c r="C40" s="25" t="s">
        <v>208</v>
      </c>
      <c r="D40" s="26"/>
      <c r="E40" s="26"/>
      <c r="F40" s="26"/>
      <c r="G40" s="25" t="s">
        <v>209</v>
      </c>
      <c r="H40" s="25" t="s">
        <v>210</v>
      </c>
      <c r="I40" s="26"/>
    </row>
    <row r="41" spans="1:9" ht="45.75" customHeight="1" x14ac:dyDescent="0.25">
      <c r="A41" s="6"/>
      <c r="B41" s="23" t="s">
        <v>211</v>
      </c>
      <c r="C41" s="28" t="s">
        <v>23</v>
      </c>
      <c r="D41" s="26"/>
      <c r="E41" s="26"/>
      <c r="F41" s="26"/>
      <c r="G41" s="26"/>
      <c r="H41" s="26"/>
      <c r="I41" s="26"/>
    </row>
  </sheetData>
  <mergeCells count="7">
    <mergeCell ref="A32:A37"/>
    <mergeCell ref="A38:A41"/>
    <mergeCell ref="A1:I1"/>
    <mergeCell ref="A2:I2"/>
    <mergeCell ref="A5:A13"/>
    <mergeCell ref="A14:A21"/>
    <mergeCell ref="A22:A3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9"/>
  <sheetViews>
    <sheetView showGridLines="0" zoomScaleNormal="100" workbookViewId="0">
      <pane xSplit="5" ySplit="4" topLeftCell="F68" activePane="bottomRight" state="frozen"/>
      <selection pane="topRight" activeCell="F1" sqref="F1"/>
      <selection pane="bottomLeft" activeCell="A8" sqref="A8"/>
      <selection pane="bottomRight" activeCell="B83" sqref="B83:B85"/>
    </sheetView>
  </sheetViews>
  <sheetFormatPr defaultColWidth="8.5703125" defaultRowHeight="15" x14ac:dyDescent="0.25"/>
  <cols>
    <col min="1" max="1" width="16" customWidth="1"/>
    <col min="2" max="2" width="32" customWidth="1"/>
    <col min="3" max="3" width="14" customWidth="1"/>
    <col min="4" max="4" width="20" customWidth="1"/>
    <col min="5" max="5" width="16" customWidth="1"/>
    <col min="6" max="6" width="62" customWidth="1"/>
    <col min="7" max="7" width="9" customWidth="1"/>
    <col min="8" max="8" width="34" customWidth="1"/>
    <col min="9" max="9" width="7" customWidth="1"/>
    <col min="10" max="10" width="50" customWidth="1"/>
  </cols>
  <sheetData>
    <row r="1" spans="1:10" ht="27.75" customHeight="1" x14ac:dyDescent="0.25">
      <c r="A1" s="12" t="s">
        <v>212</v>
      </c>
      <c r="B1" s="12"/>
      <c r="C1" s="12"/>
      <c r="D1" s="12"/>
      <c r="E1" s="12"/>
      <c r="F1" s="12"/>
      <c r="G1" s="12"/>
      <c r="H1" s="12"/>
      <c r="I1" s="12"/>
      <c r="J1" s="12"/>
    </row>
    <row r="2" spans="1:10" ht="18" customHeight="1" x14ac:dyDescent="0.25">
      <c r="A2" s="11" t="s">
        <v>213</v>
      </c>
      <c r="B2" s="11"/>
      <c r="C2" s="11"/>
      <c r="D2" s="11"/>
      <c r="E2" s="11"/>
      <c r="F2" s="11"/>
      <c r="G2" s="11"/>
      <c r="H2" s="11"/>
      <c r="I2" s="11"/>
      <c r="J2" s="11"/>
    </row>
    <row r="4" spans="1:10" ht="27.75" customHeight="1" x14ac:dyDescent="0.25">
      <c r="A4" s="15" t="s">
        <v>111</v>
      </c>
      <c r="B4" s="15" t="s">
        <v>112</v>
      </c>
      <c r="C4" s="15" t="s">
        <v>214</v>
      </c>
      <c r="D4" s="15" t="s">
        <v>215</v>
      </c>
      <c r="E4" s="15" t="s">
        <v>216</v>
      </c>
      <c r="F4" s="15" t="s">
        <v>217</v>
      </c>
      <c r="G4" s="15" t="s">
        <v>218</v>
      </c>
      <c r="H4" s="15" t="s">
        <v>219</v>
      </c>
      <c r="I4" s="15" t="s">
        <v>220</v>
      </c>
      <c r="J4" s="15" t="s">
        <v>221</v>
      </c>
    </row>
    <row r="5" spans="1:10" ht="42" customHeight="1" x14ac:dyDescent="0.25">
      <c r="A5" s="5" t="s">
        <v>113</v>
      </c>
      <c r="B5" s="4" t="s">
        <v>114</v>
      </c>
      <c r="C5" s="3" t="s">
        <v>222</v>
      </c>
      <c r="D5" s="22" t="s">
        <v>75</v>
      </c>
      <c r="E5" s="24" t="s">
        <v>223</v>
      </c>
      <c r="F5" s="23" t="s">
        <v>224</v>
      </c>
      <c r="G5" s="26" t="s">
        <v>28</v>
      </c>
      <c r="H5" s="23" t="s">
        <v>29</v>
      </c>
      <c r="I5" s="33" t="s">
        <v>19</v>
      </c>
      <c r="J5" s="2" t="s">
        <v>225</v>
      </c>
    </row>
    <row r="6" spans="1:10" ht="39.75" customHeight="1" x14ac:dyDescent="0.25">
      <c r="A6" s="5"/>
      <c r="B6" s="5"/>
      <c r="C6" s="5"/>
      <c r="D6" s="22" t="s">
        <v>80</v>
      </c>
      <c r="E6" s="24" t="s">
        <v>226</v>
      </c>
      <c r="F6" s="23" t="s">
        <v>227</v>
      </c>
      <c r="G6" s="26" t="s">
        <v>26</v>
      </c>
      <c r="H6" s="23" t="s">
        <v>27</v>
      </c>
      <c r="I6" s="33" t="s">
        <v>19</v>
      </c>
      <c r="J6" s="2"/>
    </row>
    <row r="7" spans="1:10" ht="39.75" customHeight="1" x14ac:dyDescent="0.25">
      <c r="A7" s="5"/>
      <c r="B7" s="5"/>
      <c r="C7" s="5"/>
      <c r="D7" s="22" t="s">
        <v>94</v>
      </c>
      <c r="E7" s="24" t="s">
        <v>228</v>
      </c>
      <c r="F7" s="23" t="s">
        <v>229</v>
      </c>
      <c r="G7" s="26" t="s">
        <v>26</v>
      </c>
      <c r="H7" s="23" t="s">
        <v>27</v>
      </c>
      <c r="I7" s="35" t="s">
        <v>15</v>
      </c>
      <c r="J7" s="2"/>
    </row>
    <row r="8" spans="1:10" ht="39.75" customHeight="1" x14ac:dyDescent="0.25">
      <c r="A8" s="5"/>
      <c r="B8" s="5"/>
      <c r="C8" s="5"/>
      <c r="D8" s="22" t="s">
        <v>100</v>
      </c>
      <c r="E8" s="24" t="s">
        <v>228</v>
      </c>
      <c r="F8" s="23" t="s">
        <v>229</v>
      </c>
      <c r="G8" s="26" t="s">
        <v>26</v>
      </c>
      <c r="H8" s="23" t="s">
        <v>27</v>
      </c>
      <c r="I8" s="35" t="s">
        <v>15</v>
      </c>
      <c r="J8" s="2"/>
    </row>
    <row r="9" spans="1:10" ht="42" customHeight="1" x14ac:dyDescent="0.25">
      <c r="A9" s="31" t="s">
        <v>113</v>
      </c>
      <c r="B9" s="32" t="s">
        <v>118</v>
      </c>
      <c r="C9" s="24" t="s">
        <v>230</v>
      </c>
      <c r="D9" s="22" t="s">
        <v>75</v>
      </c>
      <c r="E9" s="24" t="s">
        <v>223</v>
      </c>
      <c r="F9" s="23" t="s">
        <v>224</v>
      </c>
      <c r="G9" s="26" t="s">
        <v>28</v>
      </c>
      <c r="H9" s="23" t="s">
        <v>29</v>
      </c>
      <c r="I9" s="35" t="s">
        <v>15</v>
      </c>
      <c r="J9" s="34" t="s">
        <v>231</v>
      </c>
    </row>
    <row r="10" spans="1:10" ht="39.75" customHeight="1" x14ac:dyDescent="0.25">
      <c r="A10" s="31" t="s">
        <v>113</v>
      </c>
      <c r="B10" s="32" t="s">
        <v>120</v>
      </c>
      <c r="C10" s="24" t="s">
        <v>232</v>
      </c>
      <c r="D10" s="22" t="s">
        <v>80</v>
      </c>
      <c r="E10" s="24" t="s">
        <v>233</v>
      </c>
      <c r="F10" s="23" t="s">
        <v>234</v>
      </c>
      <c r="G10" s="26" t="s">
        <v>26</v>
      </c>
      <c r="H10" s="23" t="s">
        <v>27</v>
      </c>
      <c r="I10" s="33" t="s">
        <v>19</v>
      </c>
      <c r="J10" s="34" t="s">
        <v>235</v>
      </c>
    </row>
    <row r="11" spans="1:10" ht="42" customHeight="1" x14ac:dyDescent="0.25">
      <c r="A11" s="5" t="s">
        <v>113</v>
      </c>
      <c r="B11" s="4" t="s">
        <v>122</v>
      </c>
      <c r="C11" s="3" t="s">
        <v>236</v>
      </c>
      <c r="D11" s="22" t="s">
        <v>75</v>
      </c>
      <c r="E11" s="24" t="s">
        <v>237</v>
      </c>
      <c r="F11" s="23" t="s">
        <v>238</v>
      </c>
      <c r="G11" s="26" t="s">
        <v>34</v>
      </c>
      <c r="H11" s="23" t="s">
        <v>35</v>
      </c>
      <c r="I11" s="33" t="s">
        <v>19</v>
      </c>
      <c r="J11" s="2" t="s">
        <v>239</v>
      </c>
    </row>
    <row r="12" spans="1:10" ht="39.75" customHeight="1" x14ac:dyDescent="0.25">
      <c r="A12" s="5"/>
      <c r="B12" s="5"/>
      <c r="C12" s="5"/>
      <c r="D12" s="22" t="s">
        <v>80</v>
      </c>
      <c r="E12" s="24" t="s">
        <v>240</v>
      </c>
      <c r="F12" s="23" t="s">
        <v>241</v>
      </c>
      <c r="G12" s="26" t="s">
        <v>26</v>
      </c>
      <c r="H12" s="23" t="s">
        <v>27</v>
      </c>
      <c r="I12" s="33" t="s">
        <v>19</v>
      </c>
      <c r="J12" s="2"/>
    </row>
    <row r="13" spans="1:10" ht="39.75" customHeight="1" x14ac:dyDescent="0.25">
      <c r="A13" s="5"/>
      <c r="B13" s="5"/>
      <c r="C13" s="5"/>
      <c r="D13" s="22" t="s">
        <v>94</v>
      </c>
      <c r="E13" s="24" t="s">
        <v>242</v>
      </c>
      <c r="F13" s="23" t="s">
        <v>243</v>
      </c>
      <c r="G13" s="26" t="s">
        <v>26</v>
      </c>
      <c r="H13" s="23" t="s">
        <v>27</v>
      </c>
      <c r="I13" s="33" t="s">
        <v>19</v>
      </c>
      <c r="J13" s="2"/>
    </row>
    <row r="14" spans="1:10" ht="39.75" customHeight="1" x14ac:dyDescent="0.25">
      <c r="A14" s="5"/>
      <c r="B14" s="5"/>
      <c r="C14" s="5"/>
      <c r="D14" s="22" t="s">
        <v>100</v>
      </c>
      <c r="E14" s="24" t="s">
        <v>242</v>
      </c>
      <c r="F14" s="23" t="s">
        <v>243</v>
      </c>
      <c r="G14" s="26" t="s">
        <v>26</v>
      </c>
      <c r="H14" s="23" t="s">
        <v>27</v>
      </c>
      <c r="I14" s="33" t="s">
        <v>19</v>
      </c>
      <c r="J14" s="2"/>
    </row>
    <row r="15" spans="1:10" ht="39.75" customHeight="1" x14ac:dyDescent="0.25">
      <c r="A15" s="5" t="s">
        <v>113</v>
      </c>
      <c r="B15" s="4" t="s">
        <v>126</v>
      </c>
      <c r="C15" s="3" t="s">
        <v>244</v>
      </c>
      <c r="D15" s="22" t="s">
        <v>84</v>
      </c>
      <c r="E15" s="24" t="s">
        <v>245</v>
      </c>
      <c r="F15" s="23" t="s">
        <v>246</v>
      </c>
      <c r="G15" s="26" t="s">
        <v>30</v>
      </c>
      <c r="H15" s="23" t="s">
        <v>31</v>
      </c>
      <c r="I15" s="33" t="s">
        <v>19</v>
      </c>
      <c r="J15" s="2" t="s">
        <v>247</v>
      </c>
    </row>
    <row r="16" spans="1:10" ht="39.75" customHeight="1" x14ac:dyDescent="0.25">
      <c r="A16" s="5"/>
      <c r="B16" s="5"/>
      <c r="C16" s="5"/>
      <c r="D16" s="22" t="s">
        <v>104</v>
      </c>
      <c r="E16" s="24" t="s">
        <v>248</v>
      </c>
      <c r="F16" s="23" t="s">
        <v>249</v>
      </c>
      <c r="G16" s="26" t="s">
        <v>36</v>
      </c>
      <c r="H16" s="23" t="s">
        <v>37</v>
      </c>
      <c r="I16" s="33" t="s">
        <v>19</v>
      </c>
      <c r="J16" s="2"/>
    </row>
    <row r="17" spans="1:10" ht="39.75" customHeight="1" x14ac:dyDescent="0.25">
      <c r="A17" s="5" t="s">
        <v>113</v>
      </c>
      <c r="B17" s="4" t="s">
        <v>129</v>
      </c>
      <c r="C17" s="3" t="s">
        <v>244</v>
      </c>
      <c r="D17" s="22" t="s">
        <v>84</v>
      </c>
      <c r="E17" s="24" t="s">
        <v>250</v>
      </c>
      <c r="F17" s="23" t="s">
        <v>251</v>
      </c>
      <c r="G17" s="26" t="s">
        <v>30</v>
      </c>
      <c r="H17" s="23" t="s">
        <v>31</v>
      </c>
      <c r="I17" s="35" t="s">
        <v>15</v>
      </c>
      <c r="J17" s="2" t="s">
        <v>252</v>
      </c>
    </row>
    <row r="18" spans="1:10" ht="39.75" customHeight="1" x14ac:dyDescent="0.25">
      <c r="A18" s="5"/>
      <c r="B18" s="5"/>
      <c r="C18" s="5"/>
      <c r="D18" s="22" t="s">
        <v>89</v>
      </c>
      <c r="E18" s="24" t="s">
        <v>240</v>
      </c>
      <c r="F18" s="23" t="s">
        <v>251</v>
      </c>
      <c r="G18" s="26" t="s">
        <v>30</v>
      </c>
      <c r="H18" s="23" t="s">
        <v>31</v>
      </c>
      <c r="I18" s="35" t="s">
        <v>15</v>
      </c>
      <c r="J18" s="2"/>
    </row>
    <row r="19" spans="1:10" ht="39.75" customHeight="1" x14ac:dyDescent="0.25">
      <c r="A19" s="5"/>
      <c r="B19" s="5"/>
      <c r="C19" s="5"/>
      <c r="D19" s="22" t="s">
        <v>94</v>
      </c>
      <c r="E19" s="24" t="s">
        <v>253</v>
      </c>
      <c r="F19" s="23" t="s">
        <v>254</v>
      </c>
      <c r="G19" s="26" t="s">
        <v>26</v>
      </c>
      <c r="H19" s="23" t="s">
        <v>27</v>
      </c>
      <c r="I19" s="33" t="s">
        <v>19</v>
      </c>
      <c r="J19" s="2"/>
    </row>
    <row r="20" spans="1:10" ht="39.75" customHeight="1" x14ac:dyDescent="0.25">
      <c r="A20" s="5"/>
      <c r="B20" s="5"/>
      <c r="C20" s="5"/>
      <c r="D20" s="22" t="s">
        <v>100</v>
      </c>
      <c r="E20" s="24" t="s">
        <v>253</v>
      </c>
      <c r="F20" s="23" t="s">
        <v>254</v>
      </c>
      <c r="G20" s="26" t="s">
        <v>26</v>
      </c>
      <c r="H20" s="23" t="s">
        <v>27</v>
      </c>
      <c r="I20" s="33" t="s">
        <v>19</v>
      </c>
      <c r="J20" s="2"/>
    </row>
    <row r="21" spans="1:10" ht="39.75" customHeight="1" x14ac:dyDescent="0.25">
      <c r="A21" s="5" t="s">
        <v>113</v>
      </c>
      <c r="B21" s="4" t="s">
        <v>133</v>
      </c>
      <c r="C21" s="3" t="s">
        <v>244</v>
      </c>
      <c r="D21" s="22" t="s">
        <v>94</v>
      </c>
      <c r="E21" s="24" t="s">
        <v>255</v>
      </c>
      <c r="F21" s="23" t="s">
        <v>256</v>
      </c>
      <c r="G21" s="26" t="s">
        <v>26</v>
      </c>
      <c r="H21" s="23" t="s">
        <v>27</v>
      </c>
      <c r="I21" s="33" t="s">
        <v>19</v>
      </c>
      <c r="J21" s="2" t="s">
        <v>257</v>
      </c>
    </row>
    <row r="22" spans="1:10" ht="39.75" customHeight="1" x14ac:dyDescent="0.25">
      <c r="A22" s="5"/>
      <c r="B22" s="5"/>
      <c r="C22" s="5"/>
      <c r="D22" s="22" t="s">
        <v>100</v>
      </c>
      <c r="E22" s="24" t="s">
        <v>255</v>
      </c>
      <c r="F22" s="23" t="s">
        <v>256</v>
      </c>
      <c r="G22" s="26" t="s">
        <v>26</v>
      </c>
      <c r="H22" s="23" t="s">
        <v>27</v>
      </c>
      <c r="I22" s="33" t="s">
        <v>19</v>
      </c>
      <c r="J22" s="2"/>
    </row>
    <row r="23" spans="1:10" ht="42" customHeight="1" x14ac:dyDescent="0.25">
      <c r="A23" s="5"/>
      <c r="B23" s="5"/>
      <c r="C23" s="5"/>
      <c r="D23" s="22" t="s">
        <v>104</v>
      </c>
      <c r="E23" s="24" t="s">
        <v>258</v>
      </c>
      <c r="F23" s="23" t="s">
        <v>259</v>
      </c>
      <c r="G23" s="26" t="s">
        <v>36</v>
      </c>
      <c r="H23" s="23" t="s">
        <v>37</v>
      </c>
      <c r="I23" s="33" t="s">
        <v>19</v>
      </c>
      <c r="J23" s="2"/>
    </row>
    <row r="24" spans="1:10" ht="39.75" customHeight="1" x14ac:dyDescent="0.25">
      <c r="A24" s="5" t="s">
        <v>113</v>
      </c>
      <c r="B24" s="4" t="s">
        <v>136</v>
      </c>
      <c r="C24" s="3" t="s">
        <v>244</v>
      </c>
      <c r="D24" s="22" t="s">
        <v>94</v>
      </c>
      <c r="E24" s="24" t="s">
        <v>260</v>
      </c>
      <c r="F24" s="23" t="s">
        <v>261</v>
      </c>
      <c r="G24" s="26" t="s">
        <v>26</v>
      </c>
      <c r="H24" s="23" t="s">
        <v>27</v>
      </c>
      <c r="I24" s="36" t="s">
        <v>23</v>
      </c>
      <c r="J24" s="2" t="s">
        <v>262</v>
      </c>
    </row>
    <row r="25" spans="1:10" ht="39.75" customHeight="1" x14ac:dyDescent="0.25">
      <c r="A25" s="5"/>
      <c r="B25" s="5"/>
      <c r="C25" s="5"/>
      <c r="D25" s="22" t="s">
        <v>100</v>
      </c>
      <c r="E25" s="24" t="s">
        <v>260</v>
      </c>
      <c r="F25" s="23" t="s">
        <v>261</v>
      </c>
      <c r="G25" s="26" t="s">
        <v>26</v>
      </c>
      <c r="H25" s="23" t="s">
        <v>27</v>
      </c>
      <c r="I25" s="36" t="s">
        <v>23</v>
      </c>
      <c r="J25" s="2"/>
    </row>
    <row r="26" spans="1:10" ht="39.75" customHeight="1" x14ac:dyDescent="0.25">
      <c r="A26" s="5" t="s">
        <v>113</v>
      </c>
      <c r="B26" s="4" t="s">
        <v>137</v>
      </c>
      <c r="C26" s="3" t="s">
        <v>244</v>
      </c>
      <c r="D26" s="22" t="s">
        <v>89</v>
      </c>
      <c r="E26" s="24" t="s">
        <v>263</v>
      </c>
      <c r="F26" s="23" t="s">
        <v>264</v>
      </c>
      <c r="G26" s="26" t="s">
        <v>30</v>
      </c>
      <c r="H26" s="23" t="s">
        <v>31</v>
      </c>
      <c r="I26" s="33" t="s">
        <v>19</v>
      </c>
      <c r="J26" s="2" t="s">
        <v>265</v>
      </c>
    </row>
    <row r="27" spans="1:10" ht="39.75" customHeight="1" x14ac:dyDescent="0.25">
      <c r="A27" s="5"/>
      <c r="B27" s="5"/>
      <c r="C27" s="5"/>
      <c r="D27" s="22" t="s">
        <v>94</v>
      </c>
      <c r="E27" s="24" t="s">
        <v>266</v>
      </c>
      <c r="F27" s="23" t="s">
        <v>267</v>
      </c>
      <c r="G27" s="26" t="s">
        <v>26</v>
      </c>
      <c r="H27" s="23" t="s">
        <v>27</v>
      </c>
      <c r="I27" s="33" t="s">
        <v>19</v>
      </c>
      <c r="J27" s="2"/>
    </row>
    <row r="28" spans="1:10" ht="39.75" customHeight="1" x14ac:dyDescent="0.25">
      <c r="A28" s="5"/>
      <c r="B28" s="5"/>
      <c r="C28" s="5"/>
      <c r="D28" s="22" t="s">
        <v>100</v>
      </c>
      <c r="E28" s="24" t="s">
        <v>266</v>
      </c>
      <c r="F28" s="23" t="s">
        <v>267</v>
      </c>
      <c r="G28" s="26" t="s">
        <v>26</v>
      </c>
      <c r="H28" s="23" t="s">
        <v>27</v>
      </c>
      <c r="I28" s="33" t="s">
        <v>19</v>
      </c>
      <c r="J28" s="2"/>
    </row>
    <row r="29" spans="1:10" ht="42" customHeight="1" x14ac:dyDescent="0.25">
      <c r="A29" s="5"/>
      <c r="B29" s="5"/>
      <c r="C29" s="5"/>
      <c r="D29" s="22" t="s">
        <v>104</v>
      </c>
      <c r="E29" s="24" t="s">
        <v>268</v>
      </c>
      <c r="F29" s="23" t="s">
        <v>269</v>
      </c>
      <c r="G29" s="26" t="s">
        <v>34</v>
      </c>
      <c r="H29" s="23" t="s">
        <v>35</v>
      </c>
      <c r="I29" s="33" t="s">
        <v>19</v>
      </c>
      <c r="J29" s="2"/>
    </row>
    <row r="30" spans="1:10" ht="42" customHeight="1" x14ac:dyDescent="0.25">
      <c r="A30" s="5" t="s">
        <v>141</v>
      </c>
      <c r="B30" s="4" t="s">
        <v>142</v>
      </c>
      <c r="C30" s="3" t="s">
        <v>270</v>
      </c>
      <c r="D30" s="22" t="s">
        <v>75</v>
      </c>
      <c r="E30" s="24" t="s">
        <v>271</v>
      </c>
      <c r="F30" s="23" t="s">
        <v>272</v>
      </c>
      <c r="G30" s="26" t="s">
        <v>32</v>
      </c>
      <c r="H30" s="23" t="s">
        <v>33</v>
      </c>
      <c r="I30" s="37" t="s">
        <v>17</v>
      </c>
      <c r="J30" s="2" t="s">
        <v>273</v>
      </c>
    </row>
    <row r="31" spans="1:10" ht="39.75" customHeight="1" x14ac:dyDescent="0.25">
      <c r="A31" s="5"/>
      <c r="B31" s="5"/>
      <c r="C31" s="5"/>
      <c r="D31" s="22" t="s">
        <v>94</v>
      </c>
      <c r="E31" s="24" t="s">
        <v>274</v>
      </c>
      <c r="F31" s="23" t="s">
        <v>275</v>
      </c>
      <c r="G31" s="26" t="s">
        <v>26</v>
      </c>
      <c r="H31" s="23" t="s">
        <v>27</v>
      </c>
      <c r="I31" s="37" t="s">
        <v>17</v>
      </c>
      <c r="J31" s="2"/>
    </row>
    <row r="32" spans="1:10" ht="39.75" customHeight="1" x14ac:dyDescent="0.25">
      <c r="A32" s="5"/>
      <c r="B32" s="5"/>
      <c r="C32" s="5"/>
      <c r="D32" s="22" t="s">
        <v>100</v>
      </c>
      <c r="E32" s="24" t="s">
        <v>274</v>
      </c>
      <c r="F32" s="23" t="s">
        <v>275</v>
      </c>
      <c r="G32" s="26" t="s">
        <v>26</v>
      </c>
      <c r="H32" s="23" t="s">
        <v>27</v>
      </c>
      <c r="I32" s="37" t="s">
        <v>17</v>
      </c>
      <c r="J32" s="2"/>
    </row>
    <row r="33" spans="1:10" ht="42" customHeight="1" x14ac:dyDescent="0.25">
      <c r="A33" s="5"/>
      <c r="B33" s="5"/>
      <c r="C33" s="5"/>
      <c r="D33" s="22" t="s">
        <v>104</v>
      </c>
      <c r="E33" s="24" t="s">
        <v>276</v>
      </c>
      <c r="F33" s="23" t="s">
        <v>277</v>
      </c>
      <c r="G33" s="26" t="s">
        <v>36</v>
      </c>
      <c r="H33" s="23" t="s">
        <v>37</v>
      </c>
      <c r="I33" s="37" t="s">
        <v>17</v>
      </c>
      <c r="J33" s="2"/>
    </row>
    <row r="34" spans="1:10" ht="39.75" customHeight="1" x14ac:dyDescent="0.25">
      <c r="A34" s="5" t="s">
        <v>141</v>
      </c>
      <c r="B34" s="4" t="s">
        <v>146</v>
      </c>
      <c r="C34" s="3" t="s">
        <v>278</v>
      </c>
      <c r="D34" s="22" t="s">
        <v>84</v>
      </c>
      <c r="E34" s="24" t="s">
        <v>279</v>
      </c>
      <c r="F34" s="23" t="s">
        <v>280</v>
      </c>
      <c r="G34" s="26" t="s">
        <v>30</v>
      </c>
      <c r="H34" s="23" t="s">
        <v>31</v>
      </c>
      <c r="I34" s="35" t="s">
        <v>15</v>
      </c>
      <c r="J34" s="2" t="s">
        <v>281</v>
      </c>
    </row>
    <row r="35" spans="1:10" ht="39.75" customHeight="1" x14ac:dyDescent="0.25">
      <c r="A35" s="5"/>
      <c r="B35" s="5"/>
      <c r="C35" s="5"/>
      <c r="D35" s="22" t="s">
        <v>89</v>
      </c>
      <c r="E35" s="24" t="s">
        <v>245</v>
      </c>
      <c r="F35" s="23" t="s">
        <v>282</v>
      </c>
      <c r="G35" s="26" t="s">
        <v>30</v>
      </c>
      <c r="H35" s="23" t="s">
        <v>31</v>
      </c>
      <c r="I35" s="35" t="s">
        <v>15</v>
      </c>
      <c r="J35" s="2"/>
    </row>
    <row r="36" spans="1:10" ht="39.75" customHeight="1" x14ac:dyDescent="0.25">
      <c r="A36" s="31" t="s">
        <v>141</v>
      </c>
      <c r="B36" s="32" t="s">
        <v>149</v>
      </c>
      <c r="C36" s="24" t="s">
        <v>283</v>
      </c>
      <c r="D36" s="22" t="s">
        <v>84</v>
      </c>
      <c r="E36" s="24" t="s">
        <v>284</v>
      </c>
      <c r="F36" s="23" t="s">
        <v>285</v>
      </c>
      <c r="G36" s="26" t="s">
        <v>30</v>
      </c>
      <c r="H36" s="23" t="s">
        <v>31</v>
      </c>
      <c r="I36" s="38" t="s">
        <v>21</v>
      </c>
      <c r="J36" s="34" t="s">
        <v>286</v>
      </c>
    </row>
    <row r="37" spans="1:10" ht="39.75" customHeight="1" x14ac:dyDescent="0.25">
      <c r="A37" s="5" t="s">
        <v>141</v>
      </c>
      <c r="B37" s="4" t="s">
        <v>151</v>
      </c>
      <c r="C37" s="3" t="s">
        <v>287</v>
      </c>
      <c r="D37" s="22" t="s">
        <v>75</v>
      </c>
      <c r="E37" s="24" t="s">
        <v>288</v>
      </c>
      <c r="F37" s="23" t="s">
        <v>289</v>
      </c>
      <c r="G37" s="26" t="s">
        <v>30</v>
      </c>
      <c r="H37" s="23" t="s">
        <v>31</v>
      </c>
      <c r="I37" s="37" t="s">
        <v>17</v>
      </c>
      <c r="J37" s="2" t="s">
        <v>290</v>
      </c>
    </row>
    <row r="38" spans="1:10" ht="39.75" customHeight="1" x14ac:dyDescent="0.25">
      <c r="A38" s="5"/>
      <c r="B38" s="5"/>
      <c r="C38" s="5"/>
      <c r="D38" s="22" t="s">
        <v>94</v>
      </c>
      <c r="E38" s="24" t="s">
        <v>291</v>
      </c>
      <c r="F38" s="23" t="s">
        <v>292</v>
      </c>
      <c r="G38" s="26" t="s">
        <v>26</v>
      </c>
      <c r="H38" s="23" t="s">
        <v>27</v>
      </c>
      <c r="I38" s="37" t="s">
        <v>17</v>
      </c>
      <c r="J38" s="2"/>
    </row>
    <row r="39" spans="1:10" ht="39.75" customHeight="1" x14ac:dyDescent="0.25">
      <c r="A39" s="5"/>
      <c r="B39" s="5"/>
      <c r="C39" s="5"/>
      <c r="D39" s="22" t="s">
        <v>100</v>
      </c>
      <c r="E39" s="24" t="s">
        <v>291</v>
      </c>
      <c r="F39" s="23" t="s">
        <v>292</v>
      </c>
      <c r="G39" s="26" t="s">
        <v>26</v>
      </c>
      <c r="H39" s="23" t="s">
        <v>27</v>
      </c>
      <c r="I39" s="37" t="s">
        <v>17</v>
      </c>
      <c r="J39" s="2"/>
    </row>
    <row r="40" spans="1:10" ht="42" customHeight="1" x14ac:dyDescent="0.25">
      <c r="A40" s="5"/>
      <c r="B40" s="5"/>
      <c r="C40" s="5"/>
      <c r="D40" s="22" t="s">
        <v>104</v>
      </c>
      <c r="E40" s="24" t="s">
        <v>293</v>
      </c>
      <c r="F40" s="23" t="s">
        <v>294</v>
      </c>
      <c r="G40" s="26" t="s">
        <v>36</v>
      </c>
      <c r="H40" s="23" t="s">
        <v>37</v>
      </c>
      <c r="I40" s="37" t="s">
        <v>17</v>
      </c>
      <c r="J40" s="2"/>
    </row>
    <row r="41" spans="1:10" ht="39.75" customHeight="1" x14ac:dyDescent="0.25">
      <c r="A41" s="5" t="s">
        <v>141</v>
      </c>
      <c r="B41" s="4" t="s">
        <v>155</v>
      </c>
      <c r="C41" s="3" t="s">
        <v>295</v>
      </c>
      <c r="D41" s="22" t="s">
        <v>94</v>
      </c>
      <c r="E41" s="24" t="s">
        <v>296</v>
      </c>
      <c r="F41" s="23" t="s">
        <v>297</v>
      </c>
      <c r="G41" s="26" t="s">
        <v>26</v>
      </c>
      <c r="H41" s="23" t="s">
        <v>27</v>
      </c>
      <c r="I41" s="33" t="s">
        <v>19</v>
      </c>
      <c r="J41" s="2" t="s">
        <v>298</v>
      </c>
    </row>
    <row r="42" spans="1:10" ht="39.75" customHeight="1" x14ac:dyDescent="0.25">
      <c r="A42" s="5"/>
      <c r="B42" s="5"/>
      <c r="C42" s="5"/>
      <c r="D42" s="22" t="s">
        <v>100</v>
      </c>
      <c r="E42" s="24" t="s">
        <v>296</v>
      </c>
      <c r="F42" s="23" t="s">
        <v>297</v>
      </c>
      <c r="G42" s="26" t="s">
        <v>26</v>
      </c>
      <c r="H42" s="23" t="s">
        <v>27</v>
      </c>
      <c r="I42" s="33" t="s">
        <v>19</v>
      </c>
      <c r="J42" s="2"/>
    </row>
    <row r="43" spans="1:10" ht="39.75" customHeight="1" x14ac:dyDescent="0.25">
      <c r="A43" s="5"/>
      <c r="B43" s="5"/>
      <c r="C43" s="5"/>
      <c r="D43" s="22" t="s">
        <v>104</v>
      </c>
      <c r="E43" s="24" t="s">
        <v>226</v>
      </c>
      <c r="F43" s="23" t="s">
        <v>299</v>
      </c>
      <c r="G43" s="26" t="s">
        <v>36</v>
      </c>
      <c r="H43" s="23" t="s">
        <v>37</v>
      </c>
      <c r="I43" s="33" t="s">
        <v>19</v>
      </c>
      <c r="J43" s="2"/>
    </row>
    <row r="44" spans="1:10" ht="39.75" customHeight="1" x14ac:dyDescent="0.25">
      <c r="A44" s="5" t="s">
        <v>141</v>
      </c>
      <c r="B44" s="4" t="s">
        <v>158</v>
      </c>
      <c r="C44" s="3" t="s">
        <v>300</v>
      </c>
      <c r="D44" s="22" t="s">
        <v>84</v>
      </c>
      <c r="E44" s="24" t="s">
        <v>301</v>
      </c>
      <c r="F44" s="23" t="s">
        <v>302</v>
      </c>
      <c r="G44" s="26" t="s">
        <v>30</v>
      </c>
      <c r="H44" s="23" t="s">
        <v>31</v>
      </c>
      <c r="I44" s="33" t="s">
        <v>19</v>
      </c>
      <c r="J44" s="2" t="s">
        <v>303</v>
      </c>
    </row>
    <row r="45" spans="1:10" ht="42" customHeight="1" x14ac:dyDescent="0.25">
      <c r="A45" s="5"/>
      <c r="B45" s="5"/>
      <c r="C45" s="5"/>
      <c r="D45" s="22" t="s">
        <v>89</v>
      </c>
      <c r="E45" s="24" t="s">
        <v>304</v>
      </c>
      <c r="F45" s="23" t="s">
        <v>305</v>
      </c>
      <c r="G45" s="26" t="s">
        <v>30</v>
      </c>
      <c r="H45" s="23" t="s">
        <v>31</v>
      </c>
      <c r="I45" s="33" t="s">
        <v>19</v>
      </c>
      <c r="J45" s="2"/>
    </row>
    <row r="46" spans="1:10" ht="55.5" customHeight="1" x14ac:dyDescent="0.25">
      <c r="A46" s="5" t="s">
        <v>141</v>
      </c>
      <c r="B46" s="4" t="s">
        <v>161</v>
      </c>
      <c r="C46" s="3" t="s">
        <v>306</v>
      </c>
      <c r="D46" s="22" t="s">
        <v>75</v>
      </c>
      <c r="E46" s="24" t="s">
        <v>307</v>
      </c>
      <c r="F46" s="23" t="s">
        <v>308</v>
      </c>
      <c r="G46" s="26" t="s">
        <v>309</v>
      </c>
      <c r="H46" s="23" t="s">
        <v>310</v>
      </c>
      <c r="I46" s="33" t="s">
        <v>19</v>
      </c>
      <c r="J46" s="2" t="s">
        <v>311</v>
      </c>
    </row>
    <row r="47" spans="1:10" ht="55.5" customHeight="1" x14ac:dyDescent="0.25">
      <c r="A47" s="5"/>
      <c r="B47" s="5"/>
      <c r="C47" s="5"/>
      <c r="D47" s="22" t="s">
        <v>104</v>
      </c>
      <c r="E47" s="24" t="s">
        <v>312</v>
      </c>
      <c r="F47" s="23" t="s">
        <v>313</v>
      </c>
      <c r="G47" s="26" t="s">
        <v>314</v>
      </c>
      <c r="H47" s="23" t="s">
        <v>310</v>
      </c>
      <c r="I47" s="33" t="s">
        <v>19</v>
      </c>
      <c r="J47" s="2"/>
    </row>
    <row r="48" spans="1:10" ht="42" customHeight="1" x14ac:dyDescent="0.25">
      <c r="A48" s="5" t="s">
        <v>141</v>
      </c>
      <c r="B48" s="4" t="s">
        <v>164</v>
      </c>
      <c r="C48" s="3" t="s">
        <v>315</v>
      </c>
      <c r="D48" s="22" t="s">
        <v>75</v>
      </c>
      <c r="E48" s="24" t="s">
        <v>316</v>
      </c>
      <c r="F48" s="23" t="s">
        <v>317</v>
      </c>
      <c r="G48" s="26" t="s">
        <v>34</v>
      </c>
      <c r="H48" s="23" t="s">
        <v>35</v>
      </c>
      <c r="I48" s="33" t="s">
        <v>19</v>
      </c>
      <c r="J48" s="2" t="s">
        <v>318</v>
      </c>
    </row>
    <row r="49" spans="1:10" ht="39.75" customHeight="1" x14ac:dyDescent="0.25">
      <c r="A49" s="5"/>
      <c r="B49" s="5"/>
      <c r="C49" s="5"/>
      <c r="D49" s="22" t="s">
        <v>104</v>
      </c>
      <c r="E49" s="24" t="s">
        <v>319</v>
      </c>
      <c r="F49" s="23" t="s">
        <v>320</v>
      </c>
      <c r="G49" s="26" t="s">
        <v>36</v>
      </c>
      <c r="H49" s="23" t="s">
        <v>37</v>
      </c>
      <c r="I49" s="33" t="s">
        <v>19</v>
      </c>
      <c r="J49" s="2"/>
    </row>
    <row r="50" spans="1:10" ht="42" customHeight="1" x14ac:dyDescent="0.25">
      <c r="A50" s="5" t="s">
        <v>167</v>
      </c>
      <c r="B50" s="4" t="s">
        <v>168</v>
      </c>
      <c r="C50" s="3" t="s">
        <v>321</v>
      </c>
      <c r="D50" s="22" t="s">
        <v>75</v>
      </c>
      <c r="E50" s="24" t="s">
        <v>301</v>
      </c>
      <c r="F50" s="23" t="s">
        <v>322</v>
      </c>
      <c r="G50" s="26" t="s">
        <v>26</v>
      </c>
      <c r="H50" s="23" t="s">
        <v>27</v>
      </c>
      <c r="I50" s="35" t="s">
        <v>15</v>
      </c>
      <c r="J50" s="2" t="s">
        <v>323</v>
      </c>
    </row>
    <row r="51" spans="1:10" ht="39.75" customHeight="1" x14ac:dyDescent="0.25">
      <c r="A51" s="5"/>
      <c r="B51" s="5"/>
      <c r="C51" s="5"/>
      <c r="D51" s="22" t="s">
        <v>80</v>
      </c>
      <c r="E51" s="24" t="s">
        <v>23</v>
      </c>
      <c r="F51" s="23" t="s">
        <v>324</v>
      </c>
      <c r="G51" s="26" t="s">
        <v>23</v>
      </c>
      <c r="H51" s="23" t="s">
        <v>310</v>
      </c>
      <c r="I51" s="36" t="s">
        <v>23</v>
      </c>
      <c r="J51" s="2"/>
    </row>
    <row r="52" spans="1:10" ht="39.75" customHeight="1" x14ac:dyDescent="0.25">
      <c r="A52" s="5"/>
      <c r="B52" s="5"/>
      <c r="C52" s="5"/>
      <c r="D52" s="22" t="s">
        <v>84</v>
      </c>
      <c r="E52" s="24" t="s">
        <v>23</v>
      </c>
      <c r="F52" s="23" t="s">
        <v>324</v>
      </c>
      <c r="G52" s="26" t="s">
        <v>23</v>
      </c>
      <c r="H52" s="23" t="s">
        <v>310</v>
      </c>
      <c r="I52" s="36" t="s">
        <v>23</v>
      </c>
      <c r="J52" s="2"/>
    </row>
    <row r="53" spans="1:10" ht="39.75" customHeight="1" x14ac:dyDescent="0.25">
      <c r="A53" s="5"/>
      <c r="B53" s="5"/>
      <c r="C53" s="5"/>
      <c r="D53" s="22" t="s">
        <v>89</v>
      </c>
      <c r="E53" s="24" t="s">
        <v>23</v>
      </c>
      <c r="F53" s="23" t="s">
        <v>324</v>
      </c>
      <c r="G53" s="26" t="s">
        <v>23</v>
      </c>
      <c r="H53" s="23" t="s">
        <v>310</v>
      </c>
      <c r="I53" s="36" t="s">
        <v>23</v>
      </c>
      <c r="J53" s="2"/>
    </row>
    <row r="54" spans="1:10" ht="39.75" customHeight="1" x14ac:dyDescent="0.25">
      <c r="A54" s="5"/>
      <c r="B54" s="5"/>
      <c r="C54" s="5"/>
      <c r="D54" s="22" t="s">
        <v>94</v>
      </c>
      <c r="E54" s="24" t="s">
        <v>23</v>
      </c>
      <c r="F54" s="23" t="s">
        <v>324</v>
      </c>
      <c r="G54" s="26" t="s">
        <v>23</v>
      </c>
      <c r="H54" s="23" t="s">
        <v>310</v>
      </c>
      <c r="I54" s="36" t="s">
        <v>23</v>
      </c>
      <c r="J54" s="2"/>
    </row>
    <row r="55" spans="1:10" ht="39.75" customHeight="1" x14ac:dyDescent="0.25">
      <c r="A55" s="5"/>
      <c r="B55" s="5"/>
      <c r="C55" s="5"/>
      <c r="D55" s="22" t="s">
        <v>100</v>
      </c>
      <c r="E55" s="24" t="s">
        <v>23</v>
      </c>
      <c r="F55" s="23" t="s">
        <v>324</v>
      </c>
      <c r="G55" s="26" t="s">
        <v>23</v>
      </c>
      <c r="H55" s="23" t="s">
        <v>310</v>
      </c>
      <c r="I55" s="36" t="s">
        <v>23</v>
      </c>
      <c r="J55" s="2"/>
    </row>
    <row r="56" spans="1:10" ht="39.75" customHeight="1" x14ac:dyDescent="0.25">
      <c r="A56" s="5"/>
      <c r="B56" s="5"/>
      <c r="C56" s="5"/>
      <c r="D56" s="22" t="s">
        <v>104</v>
      </c>
      <c r="E56" s="24" t="s">
        <v>23</v>
      </c>
      <c r="F56" s="23" t="s">
        <v>324</v>
      </c>
      <c r="G56" s="26" t="s">
        <v>23</v>
      </c>
      <c r="H56" s="23" t="s">
        <v>310</v>
      </c>
      <c r="I56" s="36" t="s">
        <v>23</v>
      </c>
      <c r="J56" s="2"/>
    </row>
    <row r="57" spans="1:10" ht="39.75" customHeight="1" x14ac:dyDescent="0.25">
      <c r="A57" s="31" t="s">
        <v>167</v>
      </c>
      <c r="B57" s="32" t="s">
        <v>170</v>
      </c>
      <c r="C57" s="24" t="s">
        <v>325</v>
      </c>
      <c r="D57" s="22" t="s">
        <v>75</v>
      </c>
      <c r="E57" s="24" t="s">
        <v>284</v>
      </c>
      <c r="F57" s="23" t="s">
        <v>326</v>
      </c>
      <c r="G57" s="26" t="s">
        <v>26</v>
      </c>
      <c r="H57" s="23" t="s">
        <v>27</v>
      </c>
      <c r="I57" s="35" t="s">
        <v>15</v>
      </c>
      <c r="J57" s="34" t="s">
        <v>327</v>
      </c>
    </row>
    <row r="58" spans="1:10" ht="39.75" customHeight="1" x14ac:dyDescent="0.25">
      <c r="A58" s="31" t="s">
        <v>167</v>
      </c>
      <c r="B58" s="32" t="s">
        <v>172</v>
      </c>
      <c r="C58" s="24" t="s">
        <v>328</v>
      </c>
      <c r="D58" s="22" t="s">
        <v>75</v>
      </c>
      <c r="E58" s="24" t="s">
        <v>279</v>
      </c>
      <c r="F58" s="23" t="s">
        <v>329</v>
      </c>
      <c r="G58" s="26" t="s">
        <v>26</v>
      </c>
      <c r="H58" s="23" t="s">
        <v>27</v>
      </c>
      <c r="I58" s="35" t="s">
        <v>15</v>
      </c>
      <c r="J58" s="34" t="s">
        <v>330</v>
      </c>
    </row>
    <row r="59" spans="1:10" ht="39.75" customHeight="1" x14ac:dyDescent="0.25">
      <c r="A59" s="31" t="s">
        <v>167</v>
      </c>
      <c r="B59" s="32" t="s">
        <v>174</v>
      </c>
      <c r="C59" s="24" t="s">
        <v>331</v>
      </c>
      <c r="D59" s="22" t="s">
        <v>75</v>
      </c>
      <c r="E59" s="24" t="s">
        <v>332</v>
      </c>
      <c r="F59" s="23" t="s">
        <v>333</v>
      </c>
      <c r="G59" s="26" t="s">
        <v>40</v>
      </c>
      <c r="H59" s="23" t="s">
        <v>41</v>
      </c>
      <c r="I59" s="35" t="s">
        <v>15</v>
      </c>
      <c r="J59" s="34" t="s">
        <v>334</v>
      </c>
    </row>
    <row r="60" spans="1:10" ht="42" customHeight="1" x14ac:dyDescent="0.25">
      <c r="A60" s="31" t="s">
        <v>167</v>
      </c>
      <c r="B60" s="32" t="s">
        <v>176</v>
      </c>
      <c r="C60" s="24" t="s">
        <v>335</v>
      </c>
      <c r="D60" s="22" t="s">
        <v>75</v>
      </c>
      <c r="E60" s="24" t="s">
        <v>336</v>
      </c>
      <c r="F60" s="23" t="s">
        <v>337</v>
      </c>
      <c r="G60" s="26" t="s">
        <v>26</v>
      </c>
      <c r="H60" s="23" t="s">
        <v>27</v>
      </c>
      <c r="I60" s="35" t="s">
        <v>15</v>
      </c>
      <c r="J60" s="34" t="s">
        <v>338</v>
      </c>
    </row>
    <row r="61" spans="1:10" ht="42" customHeight="1" x14ac:dyDescent="0.25">
      <c r="A61" s="31" t="s">
        <v>167</v>
      </c>
      <c r="B61" s="32" t="s">
        <v>178</v>
      </c>
      <c r="C61" s="24" t="s">
        <v>339</v>
      </c>
      <c r="D61" s="22" t="s">
        <v>75</v>
      </c>
      <c r="E61" s="24" t="s">
        <v>340</v>
      </c>
      <c r="F61" s="23" t="s">
        <v>341</v>
      </c>
      <c r="G61" s="26" t="s">
        <v>34</v>
      </c>
      <c r="H61" s="23" t="s">
        <v>35</v>
      </c>
      <c r="I61" s="35" t="s">
        <v>15</v>
      </c>
      <c r="J61" s="34" t="s">
        <v>342</v>
      </c>
    </row>
    <row r="62" spans="1:10" ht="39.75" customHeight="1" x14ac:dyDescent="0.25">
      <c r="A62" s="5" t="s">
        <v>167</v>
      </c>
      <c r="B62" s="4" t="s">
        <v>343</v>
      </c>
      <c r="C62" s="3" t="s">
        <v>344</v>
      </c>
      <c r="D62" s="22" t="s">
        <v>75</v>
      </c>
      <c r="E62" s="24" t="s">
        <v>345</v>
      </c>
      <c r="F62" s="23" t="s">
        <v>346</v>
      </c>
      <c r="G62" s="26" t="s">
        <v>32</v>
      </c>
      <c r="H62" s="23" t="s">
        <v>33</v>
      </c>
      <c r="I62" s="37" t="s">
        <v>17</v>
      </c>
      <c r="J62" s="2" t="s">
        <v>347</v>
      </c>
    </row>
    <row r="63" spans="1:10" ht="39.75" customHeight="1" x14ac:dyDescent="0.25">
      <c r="A63" s="5"/>
      <c r="B63" s="5"/>
      <c r="C63" s="5"/>
      <c r="D63" s="22" t="s">
        <v>94</v>
      </c>
      <c r="E63" s="24" t="s">
        <v>348</v>
      </c>
      <c r="F63" s="23" t="s">
        <v>349</v>
      </c>
      <c r="G63" s="26" t="s">
        <v>26</v>
      </c>
      <c r="H63" s="23" t="s">
        <v>27</v>
      </c>
      <c r="I63" s="37" t="s">
        <v>17</v>
      </c>
      <c r="J63" s="2"/>
    </row>
    <row r="64" spans="1:10" ht="39.75" customHeight="1" x14ac:dyDescent="0.25">
      <c r="A64" s="5"/>
      <c r="B64" s="5"/>
      <c r="C64" s="5"/>
      <c r="D64" s="22" t="s">
        <v>100</v>
      </c>
      <c r="E64" s="24" t="s">
        <v>348</v>
      </c>
      <c r="F64" s="23" t="s">
        <v>349</v>
      </c>
      <c r="G64" s="26" t="s">
        <v>26</v>
      </c>
      <c r="H64" s="23" t="s">
        <v>27</v>
      </c>
      <c r="I64" s="37" t="s">
        <v>17</v>
      </c>
      <c r="J64" s="2"/>
    </row>
    <row r="65" spans="1:10" ht="69.75" customHeight="1" x14ac:dyDescent="0.25">
      <c r="A65" s="5" t="s">
        <v>167</v>
      </c>
      <c r="B65" s="4" t="s">
        <v>183</v>
      </c>
      <c r="C65" s="3" t="s">
        <v>350</v>
      </c>
      <c r="D65" s="22" t="s">
        <v>75</v>
      </c>
      <c r="E65" s="24" t="s">
        <v>351</v>
      </c>
      <c r="F65" s="23" t="s">
        <v>352</v>
      </c>
      <c r="G65" s="26" t="s">
        <v>38</v>
      </c>
      <c r="H65" s="23" t="s">
        <v>39</v>
      </c>
      <c r="I65" s="33" t="s">
        <v>19</v>
      </c>
      <c r="J65" s="2" t="s">
        <v>353</v>
      </c>
    </row>
    <row r="66" spans="1:10" ht="39.75" customHeight="1" x14ac:dyDescent="0.25">
      <c r="A66" s="5"/>
      <c r="B66" s="5"/>
      <c r="C66" s="5"/>
      <c r="D66" s="22" t="s">
        <v>100</v>
      </c>
      <c r="E66" s="24" t="s">
        <v>354</v>
      </c>
      <c r="F66" s="23" t="s">
        <v>355</v>
      </c>
      <c r="G66" s="26" t="s">
        <v>26</v>
      </c>
      <c r="H66" s="23" t="s">
        <v>27</v>
      </c>
      <c r="I66" s="33" t="s">
        <v>19</v>
      </c>
      <c r="J66" s="2"/>
    </row>
    <row r="67" spans="1:10" ht="42" customHeight="1" x14ac:dyDescent="0.25">
      <c r="A67" s="31" t="s">
        <v>167</v>
      </c>
      <c r="B67" s="32" t="s">
        <v>186</v>
      </c>
      <c r="C67" s="24" t="s">
        <v>244</v>
      </c>
      <c r="D67" s="22" t="s">
        <v>94</v>
      </c>
      <c r="E67" s="24" t="s">
        <v>354</v>
      </c>
      <c r="F67" s="23" t="s">
        <v>356</v>
      </c>
      <c r="G67" s="26" t="s">
        <v>26</v>
      </c>
      <c r="H67" s="23" t="s">
        <v>27</v>
      </c>
      <c r="I67" s="36" t="s">
        <v>23</v>
      </c>
      <c r="J67" s="34" t="s">
        <v>357</v>
      </c>
    </row>
    <row r="68" spans="1:10" ht="42" customHeight="1" x14ac:dyDescent="0.25">
      <c r="A68" s="31" t="s">
        <v>167</v>
      </c>
      <c r="B68" s="32" t="s">
        <v>187</v>
      </c>
      <c r="C68" s="24" t="s">
        <v>315</v>
      </c>
      <c r="D68" s="22" t="s">
        <v>75</v>
      </c>
      <c r="E68" s="24" t="s">
        <v>358</v>
      </c>
      <c r="F68" s="23" t="s">
        <v>359</v>
      </c>
      <c r="G68" s="26" t="s">
        <v>40</v>
      </c>
      <c r="H68" s="23" t="s">
        <v>41</v>
      </c>
      <c r="I68" s="36" t="s">
        <v>23</v>
      </c>
      <c r="J68" s="34" t="s">
        <v>360</v>
      </c>
    </row>
    <row r="69" spans="1:10" ht="55.5" customHeight="1" x14ac:dyDescent="0.25">
      <c r="A69" s="5" t="s">
        <v>188</v>
      </c>
      <c r="B69" s="4" t="s">
        <v>189</v>
      </c>
      <c r="C69" s="3" t="s">
        <v>361</v>
      </c>
      <c r="D69" s="22" t="s">
        <v>80</v>
      </c>
      <c r="E69" s="24" t="s">
        <v>362</v>
      </c>
      <c r="F69" s="23" t="s">
        <v>363</v>
      </c>
      <c r="G69" s="26" t="s">
        <v>314</v>
      </c>
      <c r="H69" s="23" t="s">
        <v>310</v>
      </c>
      <c r="I69" s="33" t="s">
        <v>19</v>
      </c>
      <c r="J69" s="2" t="s">
        <v>364</v>
      </c>
    </row>
    <row r="70" spans="1:10" ht="69.75" customHeight="1" x14ac:dyDescent="0.25">
      <c r="A70" s="5"/>
      <c r="B70" s="5"/>
      <c r="C70" s="5"/>
      <c r="D70" s="22" t="s">
        <v>94</v>
      </c>
      <c r="E70" s="24" t="s">
        <v>365</v>
      </c>
      <c r="F70" s="23" t="s">
        <v>366</v>
      </c>
      <c r="G70" s="26" t="s">
        <v>30</v>
      </c>
      <c r="H70" s="23" t="s">
        <v>31</v>
      </c>
      <c r="I70" s="33" t="s">
        <v>19</v>
      </c>
      <c r="J70" s="2"/>
    </row>
    <row r="71" spans="1:10" ht="39.75" customHeight="1" x14ac:dyDescent="0.25">
      <c r="A71" s="5"/>
      <c r="B71" s="5"/>
      <c r="C71" s="5"/>
      <c r="D71" s="22" t="s">
        <v>100</v>
      </c>
      <c r="E71" s="24" t="s">
        <v>365</v>
      </c>
      <c r="F71" s="23" t="s">
        <v>367</v>
      </c>
      <c r="G71" s="26" t="s">
        <v>30</v>
      </c>
      <c r="H71" s="23" t="s">
        <v>31</v>
      </c>
      <c r="I71" s="33" t="s">
        <v>19</v>
      </c>
      <c r="J71" s="2"/>
    </row>
    <row r="72" spans="1:10" ht="39.75" customHeight="1" x14ac:dyDescent="0.25">
      <c r="A72" s="5" t="s">
        <v>188</v>
      </c>
      <c r="B72" s="4" t="s">
        <v>192</v>
      </c>
      <c r="C72" s="3" t="s">
        <v>368</v>
      </c>
      <c r="D72" s="22" t="s">
        <v>80</v>
      </c>
      <c r="E72" s="24" t="s">
        <v>369</v>
      </c>
      <c r="F72" s="23" t="s">
        <v>370</v>
      </c>
      <c r="G72" s="26" t="s">
        <v>314</v>
      </c>
      <c r="H72" s="23" t="s">
        <v>310</v>
      </c>
      <c r="I72" s="33" t="s">
        <v>19</v>
      </c>
      <c r="J72" s="2" t="s">
        <v>371</v>
      </c>
    </row>
    <row r="73" spans="1:10" ht="69.75" customHeight="1" x14ac:dyDescent="0.25">
      <c r="A73" s="5"/>
      <c r="B73" s="5"/>
      <c r="C73" s="5"/>
      <c r="D73" s="22" t="s">
        <v>94</v>
      </c>
      <c r="E73" s="24" t="s">
        <v>372</v>
      </c>
      <c r="F73" s="23" t="s">
        <v>373</v>
      </c>
      <c r="G73" s="26" t="s">
        <v>30</v>
      </c>
      <c r="H73" s="23" t="s">
        <v>31</v>
      </c>
      <c r="I73" s="33" t="s">
        <v>19</v>
      </c>
      <c r="J73" s="2"/>
    </row>
    <row r="74" spans="1:10" ht="39.75" customHeight="1" x14ac:dyDescent="0.25">
      <c r="A74" s="5"/>
      <c r="B74" s="5"/>
      <c r="C74" s="5"/>
      <c r="D74" s="22" t="s">
        <v>100</v>
      </c>
      <c r="E74" s="24" t="s">
        <v>372</v>
      </c>
      <c r="F74" s="23" t="s">
        <v>374</v>
      </c>
      <c r="G74" s="26" t="s">
        <v>30</v>
      </c>
      <c r="H74" s="23" t="s">
        <v>31</v>
      </c>
      <c r="I74" s="33" t="s">
        <v>19</v>
      </c>
      <c r="J74" s="2"/>
    </row>
    <row r="75" spans="1:10" ht="84" customHeight="1" x14ac:dyDescent="0.25">
      <c r="A75" s="5" t="s">
        <v>188</v>
      </c>
      <c r="B75" s="4" t="s">
        <v>195</v>
      </c>
      <c r="C75" s="3" t="s">
        <v>368</v>
      </c>
      <c r="D75" s="22" t="s">
        <v>94</v>
      </c>
      <c r="E75" s="24" t="s">
        <v>375</v>
      </c>
      <c r="F75" s="23" t="s">
        <v>376</v>
      </c>
      <c r="G75" s="26" t="s">
        <v>30</v>
      </c>
      <c r="H75" s="23" t="s">
        <v>31</v>
      </c>
      <c r="I75" s="36" t="s">
        <v>23</v>
      </c>
      <c r="J75" s="2" t="s">
        <v>377</v>
      </c>
    </row>
    <row r="76" spans="1:10" ht="39.75" customHeight="1" x14ac:dyDescent="0.25">
      <c r="A76" s="5"/>
      <c r="B76" s="5"/>
      <c r="C76" s="5"/>
      <c r="D76" s="22" t="s">
        <v>100</v>
      </c>
      <c r="E76" s="24" t="s">
        <v>375</v>
      </c>
      <c r="F76" s="23" t="s">
        <v>378</v>
      </c>
      <c r="G76" s="26" t="s">
        <v>30</v>
      </c>
      <c r="H76" s="23" t="s">
        <v>31</v>
      </c>
      <c r="I76" s="36" t="s">
        <v>23</v>
      </c>
      <c r="J76" s="2"/>
    </row>
    <row r="77" spans="1:10" ht="55.5" customHeight="1" x14ac:dyDescent="0.25">
      <c r="A77" s="5" t="s">
        <v>188</v>
      </c>
      <c r="B77" s="4" t="s">
        <v>196</v>
      </c>
      <c r="C77" s="3" t="s">
        <v>379</v>
      </c>
      <c r="D77" s="22" t="s">
        <v>94</v>
      </c>
      <c r="E77" s="24" t="s">
        <v>380</v>
      </c>
      <c r="F77" s="23" t="s">
        <v>381</v>
      </c>
      <c r="G77" s="26" t="s">
        <v>30</v>
      </c>
      <c r="H77" s="23" t="s">
        <v>31</v>
      </c>
      <c r="I77" s="33" t="s">
        <v>19</v>
      </c>
      <c r="J77" s="2" t="s">
        <v>382</v>
      </c>
    </row>
    <row r="78" spans="1:10" ht="39.75" customHeight="1" x14ac:dyDescent="0.25">
      <c r="A78" s="5"/>
      <c r="B78" s="5"/>
      <c r="C78" s="5"/>
      <c r="D78" s="22" t="s">
        <v>100</v>
      </c>
      <c r="E78" s="24" t="s">
        <v>380</v>
      </c>
      <c r="F78" s="23" t="s">
        <v>383</v>
      </c>
      <c r="G78" s="26" t="s">
        <v>30</v>
      </c>
      <c r="H78" s="23" t="s">
        <v>31</v>
      </c>
      <c r="I78" s="33" t="s">
        <v>19</v>
      </c>
      <c r="J78" s="2"/>
    </row>
    <row r="79" spans="1:10" ht="69.75" customHeight="1" x14ac:dyDescent="0.25">
      <c r="A79" s="5" t="s">
        <v>188</v>
      </c>
      <c r="B79" s="4" t="s">
        <v>198</v>
      </c>
      <c r="C79" s="3" t="s">
        <v>384</v>
      </c>
      <c r="D79" s="22" t="s">
        <v>94</v>
      </c>
      <c r="E79" s="24" t="s">
        <v>385</v>
      </c>
      <c r="F79" s="23" t="s">
        <v>386</v>
      </c>
      <c r="G79" s="26" t="s">
        <v>30</v>
      </c>
      <c r="H79" s="23" t="s">
        <v>31</v>
      </c>
      <c r="I79" s="33" t="s">
        <v>19</v>
      </c>
      <c r="J79" s="2" t="s">
        <v>387</v>
      </c>
    </row>
    <row r="80" spans="1:10" ht="39.75" customHeight="1" x14ac:dyDescent="0.25">
      <c r="A80" s="5"/>
      <c r="B80" s="5"/>
      <c r="C80" s="5"/>
      <c r="D80" s="22" t="s">
        <v>100</v>
      </c>
      <c r="E80" s="24" t="s">
        <v>385</v>
      </c>
      <c r="F80" s="23" t="s">
        <v>388</v>
      </c>
      <c r="G80" s="26" t="s">
        <v>30</v>
      </c>
      <c r="H80" s="23" t="s">
        <v>31</v>
      </c>
      <c r="I80" s="33" t="s">
        <v>19</v>
      </c>
      <c r="J80" s="2"/>
    </row>
    <row r="81" spans="1:10" ht="42" customHeight="1" x14ac:dyDescent="0.25">
      <c r="A81" s="31" t="s">
        <v>188</v>
      </c>
      <c r="B81" s="32" t="s">
        <v>200</v>
      </c>
      <c r="C81" s="24" t="s">
        <v>389</v>
      </c>
      <c r="D81" s="22" t="s">
        <v>80</v>
      </c>
      <c r="E81" s="24" t="s">
        <v>390</v>
      </c>
      <c r="F81" s="23" t="s">
        <v>391</v>
      </c>
      <c r="G81" s="26" t="s">
        <v>36</v>
      </c>
      <c r="H81" s="23" t="s">
        <v>37</v>
      </c>
      <c r="I81" s="36" t="s">
        <v>23</v>
      </c>
      <c r="J81" s="34" t="s">
        <v>392</v>
      </c>
    </row>
    <row r="82" spans="1:10" ht="84" customHeight="1" x14ac:dyDescent="0.25">
      <c r="A82" s="31" t="s">
        <v>201</v>
      </c>
      <c r="B82" s="32" t="s">
        <v>202</v>
      </c>
      <c r="C82" s="24" t="s">
        <v>393</v>
      </c>
      <c r="D82" s="22" t="s">
        <v>75</v>
      </c>
      <c r="E82" s="24" t="s">
        <v>394</v>
      </c>
      <c r="F82" s="23" t="s">
        <v>395</v>
      </c>
      <c r="G82" s="26" t="s">
        <v>38</v>
      </c>
      <c r="H82" s="23" t="s">
        <v>39</v>
      </c>
      <c r="I82" s="35" t="s">
        <v>15</v>
      </c>
      <c r="J82" s="34" t="s">
        <v>396</v>
      </c>
    </row>
    <row r="83" spans="1:10" ht="42" customHeight="1" x14ac:dyDescent="0.25">
      <c r="A83" s="5" t="s">
        <v>201</v>
      </c>
      <c r="B83" s="4" t="s">
        <v>204</v>
      </c>
      <c r="C83" s="3" t="s">
        <v>397</v>
      </c>
      <c r="D83" s="22" t="s">
        <v>75</v>
      </c>
      <c r="E83" s="24" t="s">
        <v>398</v>
      </c>
      <c r="F83" s="23" t="s">
        <v>399</v>
      </c>
      <c r="G83" s="26" t="s">
        <v>34</v>
      </c>
      <c r="H83" s="23" t="s">
        <v>35</v>
      </c>
      <c r="I83" s="33" t="s">
        <v>19</v>
      </c>
      <c r="J83" s="2" t="s">
        <v>400</v>
      </c>
    </row>
    <row r="84" spans="1:10" ht="39.75" customHeight="1" x14ac:dyDescent="0.25">
      <c r="A84" s="5"/>
      <c r="B84" s="5"/>
      <c r="C84" s="5"/>
      <c r="D84" s="22" t="s">
        <v>94</v>
      </c>
      <c r="E84" s="24" t="s">
        <v>401</v>
      </c>
      <c r="F84" s="23" t="s">
        <v>402</v>
      </c>
      <c r="G84" s="26" t="s">
        <v>26</v>
      </c>
      <c r="H84" s="23" t="s">
        <v>27</v>
      </c>
      <c r="I84" s="33" t="s">
        <v>19</v>
      </c>
      <c r="J84" s="2"/>
    </row>
    <row r="85" spans="1:10" ht="39.75" customHeight="1" x14ac:dyDescent="0.25">
      <c r="A85" s="5"/>
      <c r="B85" s="5"/>
      <c r="C85" s="5"/>
      <c r="D85" s="22" t="s">
        <v>100</v>
      </c>
      <c r="E85" s="24" t="s">
        <v>401</v>
      </c>
      <c r="F85" s="23" t="s">
        <v>402</v>
      </c>
      <c r="G85" s="26" t="s">
        <v>26</v>
      </c>
      <c r="H85" s="23" t="s">
        <v>27</v>
      </c>
      <c r="I85" s="33" t="s">
        <v>19</v>
      </c>
      <c r="J85" s="2"/>
    </row>
    <row r="86" spans="1:10" ht="69.75" customHeight="1" x14ac:dyDescent="0.25">
      <c r="A86" s="5" t="s">
        <v>201</v>
      </c>
      <c r="B86" s="4" t="s">
        <v>207</v>
      </c>
      <c r="C86" s="3" t="s">
        <v>315</v>
      </c>
      <c r="D86" s="22" t="s">
        <v>75</v>
      </c>
      <c r="E86" s="24" t="s">
        <v>403</v>
      </c>
      <c r="F86" s="23" t="s">
        <v>404</v>
      </c>
      <c r="G86" s="26" t="s">
        <v>405</v>
      </c>
      <c r="H86" s="23" t="s">
        <v>310</v>
      </c>
      <c r="I86" s="33" t="s">
        <v>19</v>
      </c>
      <c r="J86" s="2" t="s">
        <v>406</v>
      </c>
    </row>
    <row r="87" spans="1:10" ht="55.5" customHeight="1" x14ac:dyDescent="0.25">
      <c r="A87" s="5"/>
      <c r="B87" s="5"/>
      <c r="C87" s="5"/>
      <c r="D87" s="22" t="s">
        <v>94</v>
      </c>
      <c r="E87" s="24" t="s">
        <v>407</v>
      </c>
      <c r="F87" s="23" t="s">
        <v>408</v>
      </c>
      <c r="G87" s="26" t="s">
        <v>409</v>
      </c>
      <c r="H87" s="23" t="s">
        <v>310</v>
      </c>
      <c r="I87" s="33" t="s">
        <v>19</v>
      </c>
      <c r="J87" s="2"/>
    </row>
    <row r="88" spans="1:10" ht="39.75" customHeight="1" x14ac:dyDescent="0.25">
      <c r="A88" s="5"/>
      <c r="B88" s="5"/>
      <c r="C88" s="5"/>
      <c r="D88" s="22" t="s">
        <v>100</v>
      </c>
      <c r="E88" s="24" t="s">
        <v>410</v>
      </c>
      <c r="F88" s="23" t="s">
        <v>411</v>
      </c>
      <c r="G88" s="26" t="s">
        <v>38</v>
      </c>
      <c r="H88" s="23" t="s">
        <v>39</v>
      </c>
      <c r="I88" s="33" t="s">
        <v>19</v>
      </c>
      <c r="J88" s="2"/>
    </row>
    <row r="89" spans="1:10" ht="39.75" customHeight="1" x14ac:dyDescent="0.25">
      <c r="A89" s="31" t="s">
        <v>201</v>
      </c>
      <c r="B89" s="32" t="s">
        <v>211</v>
      </c>
      <c r="C89" s="24" t="s">
        <v>412</v>
      </c>
      <c r="D89" s="22" t="s">
        <v>75</v>
      </c>
      <c r="E89" s="24" t="s">
        <v>413</v>
      </c>
      <c r="F89" s="23" t="s">
        <v>414</v>
      </c>
      <c r="G89" s="26" t="s">
        <v>28</v>
      </c>
      <c r="H89" s="23" t="s">
        <v>29</v>
      </c>
      <c r="I89" s="36" t="s">
        <v>23</v>
      </c>
      <c r="J89" s="34" t="s">
        <v>415</v>
      </c>
    </row>
  </sheetData>
  <mergeCells count="98">
    <mergeCell ref="A86:A88"/>
    <mergeCell ref="B86:B88"/>
    <mergeCell ref="C86:C88"/>
    <mergeCell ref="J86:J88"/>
    <mergeCell ref="A79:A80"/>
    <mergeCell ref="B79:B80"/>
    <mergeCell ref="C79:C80"/>
    <mergeCell ref="J79:J80"/>
    <mergeCell ref="A83:A85"/>
    <mergeCell ref="B83:B85"/>
    <mergeCell ref="C83:C85"/>
    <mergeCell ref="J83:J85"/>
    <mergeCell ref="A75:A76"/>
    <mergeCell ref="B75:B76"/>
    <mergeCell ref="C75:C76"/>
    <mergeCell ref="J75:J76"/>
    <mergeCell ref="A77:A78"/>
    <mergeCell ref="B77:B78"/>
    <mergeCell ref="C77:C78"/>
    <mergeCell ref="J77:J78"/>
    <mergeCell ref="A69:A71"/>
    <mergeCell ref="B69:B71"/>
    <mergeCell ref="C69:C71"/>
    <mergeCell ref="J69:J71"/>
    <mergeCell ref="A72:A74"/>
    <mergeCell ref="B72:B74"/>
    <mergeCell ref="C72:C74"/>
    <mergeCell ref="J72:J74"/>
    <mergeCell ref="A62:A64"/>
    <mergeCell ref="B62:B64"/>
    <mergeCell ref="C62:C64"/>
    <mergeCell ref="J62:J64"/>
    <mergeCell ref="A65:A66"/>
    <mergeCell ref="B65:B66"/>
    <mergeCell ref="C65:C66"/>
    <mergeCell ref="J65:J66"/>
    <mergeCell ref="A48:A49"/>
    <mergeCell ref="B48:B49"/>
    <mergeCell ref="C48:C49"/>
    <mergeCell ref="J48:J49"/>
    <mergeCell ref="A50:A56"/>
    <mergeCell ref="B50:B56"/>
    <mergeCell ref="C50:C56"/>
    <mergeCell ref="J50:J56"/>
    <mergeCell ref="A44:A45"/>
    <mergeCell ref="B44:B45"/>
    <mergeCell ref="C44:C45"/>
    <mergeCell ref="J44:J45"/>
    <mergeCell ref="A46:A47"/>
    <mergeCell ref="B46:B47"/>
    <mergeCell ref="C46:C47"/>
    <mergeCell ref="J46:J47"/>
    <mergeCell ref="A37:A40"/>
    <mergeCell ref="B37:B40"/>
    <mergeCell ref="C37:C40"/>
    <mergeCell ref="J37:J40"/>
    <mergeCell ref="A41:A43"/>
    <mergeCell ref="B41:B43"/>
    <mergeCell ref="C41:C43"/>
    <mergeCell ref="J41:J43"/>
    <mergeCell ref="A30:A33"/>
    <mergeCell ref="B30:B33"/>
    <mergeCell ref="C30:C33"/>
    <mergeCell ref="J30:J33"/>
    <mergeCell ref="A34:A35"/>
    <mergeCell ref="B34:B35"/>
    <mergeCell ref="C34:C35"/>
    <mergeCell ref="J34:J35"/>
    <mergeCell ref="A24:A25"/>
    <mergeCell ref="B24:B25"/>
    <mergeCell ref="C24:C25"/>
    <mergeCell ref="J24:J25"/>
    <mergeCell ref="A26:A29"/>
    <mergeCell ref="B26:B29"/>
    <mergeCell ref="C26:C29"/>
    <mergeCell ref="J26:J29"/>
    <mergeCell ref="A17:A20"/>
    <mergeCell ref="B17:B20"/>
    <mergeCell ref="C17:C20"/>
    <mergeCell ref="J17:J20"/>
    <mergeCell ref="A21:A23"/>
    <mergeCell ref="B21:B23"/>
    <mergeCell ref="C21:C23"/>
    <mergeCell ref="J21:J23"/>
    <mergeCell ref="A11:A14"/>
    <mergeCell ref="B11:B14"/>
    <mergeCell ref="C11:C14"/>
    <mergeCell ref="J11:J14"/>
    <mergeCell ref="A15:A16"/>
    <mergeCell ref="B15:B16"/>
    <mergeCell ref="C15:C16"/>
    <mergeCell ref="J15:J16"/>
    <mergeCell ref="A1:J1"/>
    <mergeCell ref="A2:J2"/>
    <mergeCell ref="A5:A8"/>
    <mergeCell ref="B5:B8"/>
    <mergeCell ref="C5:C8"/>
    <mergeCell ref="J5:J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showGridLines="0" topLeftCell="A19" zoomScaleNormal="100" workbookViewId="0">
      <selection activeCell="A4" sqref="A4:G6"/>
    </sheetView>
  </sheetViews>
  <sheetFormatPr defaultColWidth="8.5703125" defaultRowHeight="15" x14ac:dyDescent="0.25"/>
  <cols>
    <col min="1" max="1" width="12" customWidth="1"/>
    <col min="2" max="2" width="30" customWidth="1"/>
    <col min="3" max="3" width="10" customWidth="1"/>
    <col min="4" max="4" width="32" customWidth="1"/>
    <col min="5" max="5" width="22" customWidth="1"/>
    <col min="6" max="7" width="44" customWidth="1"/>
  </cols>
  <sheetData>
    <row r="1" spans="1:7" ht="27.75" customHeight="1" x14ac:dyDescent="0.25">
      <c r="A1" s="12" t="s">
        <v>416</v>
      </c>
      <c r="B1" s="12"/>
      <c r="C1" s="12"/>
      <c r="D1" s="12"/>
      <c r="E1" s="12"/>
      <c r="F1" s="12"/>
      <c r="G1" s="12"/>
    </row>
    <row r="2" spans="1:7" ht="18" customHeight="1" x14ac:dyDescent="0.25">
      <c r="A2" s="11" t="s">
        <v>417</v>
      </c>
      <c r="B2" s="11"/>
      <c r="C2" s="11"/>
      <c r="D2" s="11"/>
      <c r="E2" s="11"/>
      <c r="F2" s="11"/>
      <c r="G2" s="11"/>
    </row>
    <row r="4" spans="1:7" ht="15" customHeight="1" x14ac:dyDescent="0.25">
      <c r="A4" s="10" t="s">
        <v>418</v>
      </c>
      <c r="B4" s="10"/>
      <c r="C4" s="10"/>
      <c r="D4" s="10"/>
      <c r="E4" s="10"/>
      <c r="F4" s="10"/>
      <c r="G4" s="10"/>
    </row>
    <row r="5" spans="1:7" ht="15" customHeight="1" x14ac:dyDescent="0.25">
      <c r="A5" s="10"/>
      <c r="B5" s="10"/>
      <c r="C5" s="10"/>
      <c r="D5" s="10"/>
      <c r="E5" s="10"/>
      <c r="F5" s="10"/>
      <c r="G5" s="10"/>
    </row>
    <row r="6" spans="1:7" ht="15" customHeight="1" x14ac:dyDescent="0.25">
      <c r="A6" s="10"/>
      <c r="B6" s="10"/>
      <c r="C6" s="10"/>
      <c r="D6" s="10"/>
      <c r="E6" s="10"/>
      <c r="F6" s="10"/>
      <c r="G6" s="10"/>
    </row>
    <row r="8" spans="1:7" ht="27.75" customHeight="1" x14ac:dyDescent="0.25">
      <c r="A8" s="15" t="s">
        <v>419</v>
      </c>
      <c r="B8" s="15" t="s">
        <v>112</v>
      </c>
      <c r="C8" s="15" t="s">
        <v>420</v>
      </c>
      <c r="D8" s="15" t="s">
        <v>421</v>
      </c>
      <c r="E8" s="15" t="s">
        <v>422</v>
      </c>
      <c r="F8" s="15" t="s">
        <v>423</v>
      </c>
      <c r="G8" s="15" t="s">
        <v>424</v>
      </c>
    </row>
    <row r="9" spans="1:7" ht="139.5" customHeight="1" x14ac:dyDescent="0.25">
      <c r="A9" s="39" t="s">
        <v>425</v>
      </c>
      <c r="B9" s="22" t="s">
        <v>426</v>
      </c>
      <c r="C9" s="26" t="s">
        <v>321</v>
      </c>
      <c r="D9" s="23" t="s">
        <v>427</v>
      </c>
      <c r="E9" s="23" t="s">
        <v>428</v>
      </c>
      <c r="F9" s="23" t="s">
        <v>429</v>
      </c>
      <c r="G9" s="23" t="s">
        <v>430</v>
      </c>
    </row>
    <row r="10" spans="1:7" ht="139.5" customHeight="1" x14ac:dyDescent="0.25">
      <c r="A10" s="39" t="s">
        <v>425</v>
      </c>
      <c r="B10" s="22" t="s">
        <v>431</v>
      </c>
      <c r="C10" s="26" t="s">
        <v>325</v>
      </c>
      <c r="D10" s="23" t="s">
        <v>432</v>
      </c>
      <c r="E10" s="23" t="s">
        <v>428</v>
      </c>
      <c r="F10" s="23" t="s">
        <v>433</v>
      </c>
      <c r="G10" s="23" t="s">
        <v>434</v>
      </c>
    </row>
    <row r="11" spans="1:7" ht="139.5" customHeight="1" x14ac:dyDescent="0.25">
      <c r="A11" s="39" t="s">
        <v>425</v>
      </c>
      <c r="B11" s="22" t="s">
        <v>435</v>
      </c>
      <c r="C11" s="26" t="s">
        <v>335</v>
      </c>
      <c r="D11" s="23" t="s">
        <v>436</v>
      </c>
      <c r="E11" s="23" t="s">
        <v>428</v>
      </c>
      <c r="F11" s="23" t="s">
        <v>437</v>
      </c>
      <c r="G11" s="23" t="s">
        <v>438</v>
      </c>
    </row>
    <row r="12" spans="1:7" ht="139.5" customHeight="1" x14ac:dyDescent="0.25">
      <c r="A12" s="39" t="s">
        <v>425</v>
      </c>
      <c r="B12" s="22" t="s">
        <v>439</v>
      </c>
      <c r="C12" s="26" t="s">
        <v>393</v>
      </c>
      <c r="D12" s="23" t="s">
        <v>440</v>
      </c>
      <c r="E12" s="23" t="s">
        <v>428</v>
      </c>
      <c r="F12" s="23" t="s">
        <v>441</v>
      </c>
      <c r="G12" s="23" t="s">
        <v>442</v>
      </c>
    </row>
    <row r="13" spans="1:7" ht="139.5" customHeight="1" x14ac:dyDescent="0.25">
      <c r="A13" s="39" t="s">
        <v>425</v>
      </c>
      <c r="B13" s="22" t="s">
        <v>443</v>
      </c>
      <c r="C13" s="26" t="s">
        <v>444</v>
      </c>
      <c r="D13" s="23" t="s">
        <v>445</v>
      </c>
      <c r="E13" s="23" t="s">
        <v>428</v>
      </c>
      <c r="F13" s="23" t="s">
        <v>446</v>
      </c>
      <c r="G13" s="23" t="s">
        <v>447</v>
      </c>
    </row>
    <row r="14" spans="1:7" ht="139.5" customHeight="1" x14ac:dyDescent="0.25">
      <c r="A14" s="40" t="s">
        <v>448</v>
      </c>
      <c r="B14" s="22" t="s">
        <v>449</v>
      </c>
      <c r="C14" s="26" t="s">
        <v>339</v>
      </c>
      <c r="D14" s="23" t="s">
        <v>450</v>
      </c>
      <c r="E14" s="23" t="s">
        <v>428</v>
      </c>
      <c r="F14" s="23" t="s">
        <v>451</v>
      </c>
      <c r="G14" s="23" t="s">
        <v>452</v>
      </c>
    </row>
    <row r="15" spans="1:7" ht="139.5" customHeight="1" x14ac:dyDescent="0.25">
      <c r="A15" s="40" t="s">
        <v>448</v>
      </c>
      <c r="B15" s="22" t="s">
        <v>453</v>
      </c>
      <c r="C15" s="26" t="s">
        <v>230</v>
      </c>
      <c r="D15" s="23" t="s">
        <v>454</v>
      </c>
      <c r="E15" s="23" t="s">
        <v>455</v>
      </c>
      <c r="F15" s="23" t="s">
        <v>456</v>
      </c>
      <c r="G15" s="23" t="s">
        <v>457</v>
      </c>
    </row>
    <row r="16" spans="1:7" ht="139.5" customHeight="1" x14ac:dyDescent="0.25">
      <c r="A16" s="40" t="s">
        <v>448</v>
      </c>
      <c r="B16" s="22" t="s">
        <v>458</v>
      </c>
      <c r="C16" s="26" t="s">
        <v>287</v>
      </c>
      <c r="D16" s="23" t="s">
        <v>459</v>
      </c>
      <c r="E16" s="23" t="s">
        <v>460</v>
      </c>
      <c r="F16" s="23" t="s">
        <v>461</v>
      </c>
      <c r="G16" s="23" t="s">
        <v>462</v>
      </c>
    </row>
    <row r="17" spans="1:7" ht="139.5" customHeight="1" x14ac:dyDescent="0.25">
      <c r="A17" s="41" t="s">
        <v>463</v>
      </c>
      <c r="B17" s="22" t="s">
        <v>464</v>
      </c>
      <c r="C17" s="26" t="s">
        <v>270</v>
      </c>
      <c r="D17" s="23" t="s">
        <v>465</v>
      </c>
      <c r="E17" s="23" t="s">
        <v>466</v>
      </c>
      <c r="F17" s="23" t="s">
        <v>467</v>
      </c>
      <c r="G17" s="23" t="s">
        <v>468</v>
      </c>
    </row>
    <row r="18" spans="1:7" ht="139.5" customHeight="1" x14ac:dyDescent="0.25">
      <c r="A18" s="41" t="s">
        <v>463</v>
      </c>
      <c r="B18" s="22" t="s">
        <v>469</v>
      </c>
      <c r="C18" s="26" t="s">
        <v>470</v>
      </c>
      <c r="D18" s="23" t="s">
        <v>471</v>
      </c>
      <c r="E18" s="23" t="s">
        <v>472</v>
      </c>
      <c r="F18" s="23" t="s">
        <v>473</v>
      </c>
      <c r="G18" s="23" t="s">
        <v>474</v>
      </c>
    </row>
    <row r="19" spans="1:7" ht="139.5" customHeight="1" x14ac:dyDescent="0.25">
      <c r="A19" s="41" t="s">
        <v>463</v>
      </c>
      <c r="B19" s="22" t="s">
        <v>204</v>
      </c>
      <c r="C19" s="26" t="s">
        <v>397</v>
      </c>
      <c r="D19" s="23" t="s">
        <v>475</v>
      </c>
      <c r="E19" s="23" t="s">
        <v>476</v>
      </c>
      <c r="F19" s="23" t="s">
        <v>477</v>
      </c>
      <c r="G19" s="23" t="s">
        <v>478</v>
      </c>
    </row>
    <row r="20" spans="1:7" ht="139.5" customHeight="1" x14ac:dyDescent="0.25">
      <c r="A20" s="42" t="s">
        <v>479</v>
      </c>
      <c r="B20" s="22" t="s">
        <v>480</v>
      </c>
      <c r="C20" s="26" t="s">
        <v>344</v>
      </c>
      <c r="D20" s="23" t="s">
        <v>481</v>
      </c>
      <c r="E20" s="23" t="s">
        <v>482</v>
      </c>
      <c r="F20" s="23" t="s">
        <v>483</v>
      </c>
      <c r="G20" s="23" t="s">
        <v>484</v>
      </c>
    </row>
  </sheetData>
  <mergeCells count="3">
    <mergeCell ref="A1:G1"/>
    <mergeCell ref="A2:G2"/>
    <mergeCell ref="A4:G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
  <sheetViews>
    <sheetView showGridLines="0" topLeftCell="A14" zoomScaleNormal="100" workbookViewId="0">
      <selection sqref="A1:I1"/>
    </sheetView>
  </sheetViews>
  <sheetFormatPr defaultColWidth="8.5703125" defaultRowHeight="15" x14ac:dyDescent="0.25"/>
  <cols>
    <col min="1" max="1" width="14" customWidth="1"/>
    <col min="2" max="2" width="26" customWidth="1"/>
    <col min="3" max="3" width="10" customWidth="1"/>
    <col min="4" max="4" width="36" customWidth="1"/>
    <col min="5" max="5" width="18" customWidth="1"/>
    <col min="6" max="6" width="12" customWidth="1"/>
    <col min="7" max="8" width="22" customWidth="1"/>
    <col min="9" max="9" width="44" customWidth="1"/>
  </cols>
  <sheetData>
    <row r="1" spans="1:9" ht="27.75" customHeight="1" x14ac:dyDescent="0.25">
      <c r="A1" s="12" t="s">
        <v>485</v>
      </c>
      <c r="B1" s="12"/>
      <c r="C1" s="12"/>
      <c r="D1" s="12"/>
      <c r="E1" s="12"/>
      <c r="F1" s="12"/>
      <c r="G1" s="12"/>
      <c r="H1" s="12"/>
      <c r="I1" s="12"/>
    </row>
    <row r="2" spans="1:9" ht="18" customHeight="1" x14ac:dyDescent="0.25">
      <c r="A2" s="11" t="s">
        <v>486</v>
      </c>
      <c r="B2" s="11"/>
      <c r="C2" s="11"/>
      <c r="D2" s="11"/>
      <c r="E2" s="11"/>
      <c r="F2" s="11"/>
      <c r="G2" s="11"/>
      <c r="H2" s="11"/>
      <c r="I2" s="11"/>
    </row>
    <row r="4" spans="1:9" ht="15" customHeight="1" x14ac:dyDescent="0.25">
      <c r="A4" s="1" t="s">
        <v>487</v>
      </c>
      <c r="B4" s="1"/>
      <c r="C4" s="1"/>
      <c r="D4" s="1"/>
      <c r="E4" s="1"/>
      <c r="F4" s="1"/>
      <c r="G4" s="1"/>
      <c r="H4" s="1"/>
      <c r="I4" s="1"/>
    </row>
    <row r="5" spans="1:9" ht="15" customHeight="1" x14ac:dyDescent="0.25">
      <c r="A5" s="1"/>
      <c r="B5" s="1"/>
      <c r="C5" s="1"/>
      <c r="D5" s="1"/>
      <c r="E5" s="1"/>
      <c r="F5" s="1"/>
      <c r="G5" s="1"/>
      <c r="H5" s="1"/>
      <c r="I5" s="1"/>
    </row>
    <row r="6" spans="1:9" ht="15" customHeight="1" x14ac:dyDescent="0.25">
      <c r="A6" s="1"/>
      <c r="B6" s="1"/>
      <c r="C6" s="1"/>
      <c r="D6" s="1"/>
      <c r="E6" s="1"/>
      <c r="F6" s="1"/>
      <c r="G6" s="1"/>
      <c r="H6" s="1"/>
      <c r="I6" s="1"/>
    </row>
    <row r="8" spans="1:9" ht="27.75" customHeight="1" x14ac:dyDescent="0.25">
      <c r="A8" s="15" t="s">
        <v>488</v>
      </c>
      <c r="B8" s="15" t="s">
        <v>112</v>
      </c>
      <c r="C8" s="15" t="s">
        <v>420</v>
      </c>
      <c r="D8" s="15" t="s">
        <v>489</v>
      </c>
      <c r="E8" s="15" t="s">
        <v>490</v>
      </c>
      <c r="F8" s="15" t="s">
        <v>491</v>
      </c>
      <c r="G8" s="15" t="s">
        <v>492</v>
      </c>
      <c r="H8" s="15" t="s">
        <v>493</v>
      </c>
      <c r="I8" s="15" t="s">
        <v>494</v>
      </c>
    </row>
    <row r="9" spans="1:9" ht="129.75" customHeight="1" x14ac:dyDescent="0.25">
      <c r="A9" s="16" t="s">
        <v>495</v>
      </c>
      <c r="B9" s="22" t="s">
        <v>426</v>
      </c>
      <c r="C9" s="26" t="s">
        <v>321</v>
      </c>
      <c r="D9" s="23" t="s">
        <v>496</v>
      </c>
      <c r="E9" s="24" t="s">
        <v>497</v>
      </c>
      <c r="F9" s="24" t="s">
        <v>498</v>
      </c>
      <c r="G9" s="23" t="s">
        <v>499</v>
      </c>
      <c r="H9" s="23" t="s">
        <v>500</v>
      </c>
      <c r="I9" s="23" t="s">
        <v>501</v>
      </c>
    </row>
    <row r="10" spans="1:9" ht="129.75" customHeight="1" x14ac:dyDescent="0.25">
      <c r="A10" s="43" t="s">
        <v>502</v>
      </c>
      <c r="B10" s="22" t="s">
        <v>503</v>
      </c>
      <c r="C10" s="26" t="s">
        <v>344</v>
      </c>
      <c r="D10" s="23" t="s">
        <v>504</v>
      </c>
      <c r="E10" s="24" t="s">
        <v>505</v>
      </c>
      <c r="F10" s="24" t="s">
        <v>506</v>
      </c>
      <c r="G10" s="23" t="s">
        <v>507</v>
      </c>
      <c r="H10" s="23" t="s">
        <v>508</v>
      </c>
      <c r="I10" s="23" t="s">
        <v>509</v>
      </c>
    </row>
    <row r="11" spans="1:9" ht="129.75" customHeight="1" x14ac:dyDescent="0.25">
      <c r="A11" s="43" t="s">
        <v>502</v>
      </c>
      <c r="B11" s="22" t="s">
        <v>510</v>
      </c>
      <c r="C11" s="26" t="s">
        <v>230</v>
      </c>
      <c r="D11" s="23" t="s">
        <v>511</v>
      </c>
      <c r="E11" s="24" t="s">
        <v>512</v>
      </c>
      <c r="F11" s="24" t="s">
        <v>513</v>
      </c>
      <c r="G11" s="23" t="s">
        <v>514</v>
      </c>
      <c r="H11" s="23" t="s">
        <v>515</v>
      </c>
      <c r="I11" s="23" t="s">
        <v>516</v>
      </c>
    </row>
    <row r="12" spans="1:9" ht="129.75" customHeight="1" x14ac:dyDescent="0.25">
      <c r="A12" s="43" t="s">
        <v>502</v>
      </c>
      <c r="B12" s="22" t="s">
        <v>517</v>
      </c>
      <c r="C12" s="26" t="s">
        <v>270</v>
      </c>
      <c r="D12" s="23" t="s">
        <v>518</v>
      </c>
      <c r="E12" s="24" t="s">
        <v>519</v>
      </c>
      <c r="F12" s="24" t="s">
        <v>506</v>
      </c>
      <c r="G12" s="23" t="s">
        <v>520</v>
      </c>
      <c r="H12" s="23" t="s">
        <v>521</v>
      </c>
      <c r="I12" s="23" t="s">
        <v>522</v>
      </c>
    </row>
    <row r="13" spans="1:9" ht="129.75" customHeight="1" x14ac:dyDescent="0.25">
      <c r="A13" s="43" t="s">
        <v>502</v>
      </c>
      <c r="B13" s="22" t="s">
        <v>523</v>
      </c>
      <c r="C13" s="26" t="s">
        <v>287</v>
      </c>
      <c r="D13" s="23" t="s">
        <v>524</v>
      </c>
      <c r="E13" s="24" t="s">
        <v>525</v>
      </c>
      <c r="F13" s="24" t="s">
        <v>506</v>
      </c>
      <c r="G13" s="23" t="s">
        <v>526</v>
      </c>
      <c r="H13" s="23" t="s">
        <v>527</v>
      </c>
      <c r="I13" s="23" t="s">
        <v>528</v>
      </c>
    </row>
    <row r="14" spans="1:9" ht="129.75" customHeight="1" x14ac:dyDescent="0.25">
      <c r="A14" s="17" t="s">
        <v>529</v>
      </c>
      <c r="B14" s="22" t="s">
        <v>449</v>
      </c>
      <c r="C14" s="26" t="s">
        <v>339</v>
      </c>
      <c r="D14" s="23" t="s">
        <v>530</v>
      </c>
      <c r="E14" s="24" t="s">
        <v>531</v>
      </c>
      <c r="F14" s="24" t="s">
        <v>532</v>
      </c>
      <c r="G14" s="23" t="s">
        <v>499</v>
      </c>
      <c r="H14" s="23" t="s">
        <v>533</v>
      </c>
      <c r="I14" s="23" t="s">
        <v>534</v>
      </c>
    </row>
    <row r="15" spans="1:9" ht="129.75" customHeight="1" x14ac:dyDescent="0.25">
      <c r="A15" s="17" t="s">
        <v>529</v>
      </c>
      <c r="B15" s="22" t="s">
        <v>469</v>
      </c>
      <c r="C15" s="26" t="s">
        <v>535</v>
      </c>
      <c r="D15" s="23" t="s">
        <v>536</v>
      </c>
      <c r="E15" s="24" t="s">
        <v>537</v>
      </c>
      <c r="F15" s="24" t="s">
        <v>538</v>
      </c>
      <c r="G15" s="23" t="s">
        <v>539</v>
      </c>
      <c r="H15" s="23" t="s">
        <v>540</v>
      </c>
      <c r="I15" s="23" t="s">
        <v>541</v>
      </c>
    </row>
    <row r="16" spans="1:9" ht="129.75" customHeight="1" x14ac:dyDescent="0.25">
      <c r="A16" s="17" t="s">
        <v>529</v>
      </c>
      <c r="B16" s="22" t="s">
        <v>204</v>
      </c>
      <c r="C16" s="26" t="s">
        <v>397</v>
      </c>
      <c r="D16" s="23" t="s">
        <v>542</v>
      </c>
      <c r="E16" s="24" t="s">
        <v>543</v>
      </c>
      <c r="F16" s="24" t="s">
        <v>532</v>
      </c>
      <c r="G16" s="23" t="s">
        <v>544</v>
      </c>
      <c r="H16" s="23" t="s">
        <v>545</v>
      </c>
      <c r="I16" s="23" t="s">
        <v>546</v>
      </c>
    </row>
    <row r="17" spans="1:9" ht="129.75" customHeight="1" x14ac:dyDescent="0.25">
      <c r="A17" s="44" t="s">
        <v>547</v>
      </c>
      <c r="B17" s="22" t="s">
        <v>439</v>
      </c>
      <c r="C17" s="26" t="s">
        <v>393</v>
      </c>
      <c r="D17" s="23" t="s">
        <v>548</v>
      </c>
      <c r="E17" s="24" t="s">
        <v>549</v>
      </c>
      <c r="F17" s="24" t="s">
        <v>532</v>
      </c>
      <c r="G17" s="23" t="s">
        <v>499</v>
      </c>
      <c r="H17" s="23" t="s">
        <v>550</v>
      </c>
      <c r="I17" s="23" t="s">
        <v>551</v>
      </c>
    </row>
  </sheetData>
  <mergeCells count="3">
    <mergeCell ref="A1:I1"/>
    <mergeCell ref="A2:I2"/>
    <mergeCell ref="A4:I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showGridLines="0" topLeftCell="A14" zoomScaleNormal="100" workbookViewId="0">
      <selection sqref="A1:D1"/>
    </sheetView>
  </sheetViews>
  <sheetFormatPr defaultColWidth="8.5703125" defaultRowHeight="15" x14ac:dyDescent="0.25"/>
  <cols>
    <col min="1" max="1" width="24" customWidth="1"/>
    <col min="2" max="4" width="44" customWidth="1"/>
  </cols>
  <sheetData>
    <row r="1" spans="1:4" ht="27.75" customHeight="1" x14ac:dyDescent="0.25">
      <c r="A1" s="12" t="s">
        <v>552</v>
      </c>
      <c r="B1" s="12"/>
      <c r="C1" s="12"/>
      <c r="D1" s="12"/>
    </row>
    <row r="2" spans="1:4" ht="18" customHeight="1" x14ac:dyDescent="0.25">
      <c r="A2" s="11" t="s">
        <v>553</v>
      </c>
      <c r="B2" s="11"/>
      <c r="C2" s="11"/>
      <c r="D2" s="11"/>
    </row>
    <row r="4" spans="1:4" ht="15" customHeight="1" x14ac:dyDescent="0.25">
      <c r="A4" s="15" t="s">
        <v>554</v>
      </c>
      <c r="B4" s="15" t="s">
        <v>555</v>
      </c>
      <c r="C4" s="15" t="s">
        <v>556</v>
      </c>
      <c r="D4" s="15" t="s">
        <v>557</v>
      </c>
    </row>
    <row r="5" spans="1:4" ht="55.5" customHeight="1" x14ac:dyDescent="0.25">
      <c r="A5" s="32" t="s">
        <v>558</v>
      </c>
      <c r="B5" s="23" t="s">
        <v>559</v>
      </c>
      <c r="C5" s="23" t="s">
        <v>560</v>
      </c>
      <c r="D5" s="23" t="s">
        <v>561</v>
      </c>
    </row>
    <row r="6" spans="1:4" ht="55.5" customHeight="1" x14ac:dyDescent="0.25">
      <c r="A6" s="32" t="s">
        <v>562</v>
      </c>
      <c r="B6" s="23" t="s">
        <v>563</v>
      </c>
      <c r="C6" s="23" t="s">
        <v>564</v>
      </c>
      <c r="D6" s="23" t="s">
        <v>565</v>
      </c>
    </row>
    <row r="7" spans="1:4" ht="55.5" customHeight="1" x14ac:dyDescent="0.25">
      <c r="A7" s="32" t="s">
        <v>566</v>
      </c>
      <c r="B7" s="23" t="s">
        <v>567</v>
      </c>
      <c r="C7" s="23" t="s">
        <v>568</v>
      </c>
      <c r="D7" s="23" t="s">
        <v>569</v>
      </c>
    </row>
    <row r="8" spans="1:4" ht="55.5" customHeight="1" x14ac:dyDescent="0.25">
      <c r="A8" s="32" t="s">
        <v>570</v>
      </c>
      <c r="B8" s="23" t="s">
        <v>571</v>
      </c>
      <c r="C8" s="23" t="s">
        <v>572</v>
      </c>
      <c r="D8" s="23" t="s">
        <v>573</v>
      </c>
    </row>
    <row r="9" spans="1:4" ht="55.5" customHeight="1" x14ac:dyDescent="0.25">
      <c r="A9" s="32" t="s">
        <v>574</v>
      </c>
      <c r="B9" s="23" t="s">
        <v>575</v>
      </c>
      <c r="C9" s="23" t="s">
        <v>576</v>
      </c>
      <c r="D9" s="23" t="s">
        <v>577</v>
      </c>
    </row>
    <row r="10" spans="1:4" ht="55.5" customHeight="1" x14ac:dyDescent="0.25">
      <c r="A10" s="32" t="s">
        <v>578</v>
      </c>
      <c r="B10" s="23" t="s">
        <v>579</v>
      </c>
      <c r="C10" s="23" t="s">
        <v>580</v>
      </c>
      <c r="D10" s="23" t="s">
        <v>581</v>
      </c>
    </row>
    <row r="11" spans="1:4" ht="55.5" customHeight="1" x14ac:dyDescent="0.25">
      <c r="A11" s="32" t="s">
        <v>582</v>
      </c>
      <c r="B11" s="23" t="s">
        <v>583</v>
      </c>
      <c r="C11" s="23" t="s">
        <v>584</v>
      </c>
      <c r="D11" s="23" t="s">
        <v>585</v>
      </c>
    </row>
    <row r="12" spans="1:4" ht="55.5" customHeight="1" x14ac:dyDescent="0.25">
      <c r="A12" s="32" t="s">
        <v>586</v>
      </c>
      <c r="B12" s="23" t="s">
        <v>587</v>
      </c>
      <c r="C12" s="23" t="s">
        <v>588</v>
      </c>
      <c r="D12" s="23" t="s">
        <v>589</v>
      </c>
    </row>
    <row r="13" spans="1:4" ht="55.5" customHeight="1" x14ac:dyDescent="0.25">
      <c r="A13" s="32" t="s">
        <v>590</v>
      </c>
      <c r="B13" s="23" t="s">
        <v>591</v>
      </c>
      <c r="C13" s="23" t="s">
        <v>592</v>
      </c>
      <c r="D13" s="23" t="s">
        <v>593</v>
      </c>
    </row>
    <row r="14" spans="1:4" ht="55.5" customHeight="1" x14ac:dyDescent="0.25">
      <c r="A14" s="32" t="s">
        <v>594</v>
      </c>
      <c r="B14" s="23" t="s">
        <v>595</v>
      </c>
      <c r="C14" s="23" t="s">
        <v>596</v>
      </c>
      <c r="D14" s="23" t="s">
        <v>597</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9"/>
  <sheetViews>
    <sheetView showGridLines="0" zoomScaleNormal="100" workbookViewId="0">
      <pane xSplit="4" ySplit="4" topLeftCell="E5" activePane="bottomRight" state="frozen"/>
      <selection pane="topRight" activeCell="E1" sqref="E1"/>
      <selection pane="bottomLeft" activeCell="A21" sqref="A21"/>
      <selection pane="bottomRight" sqref="A1:I1"/>
    </sheetView>
  </sheetViews>
  <sheetFormatPr defaultColWidth="8.5703125" defaultRowHeight="15" x14ac:dyDescent="0.25"/>
  <cols>
    <col min="1" max="1" width="32" customWidth="1"/>
    <col min="2" max="2" width="14" customWidth="1"/>
    <col min="3" max="3" width="20" customWidth="1"/>
    <col min="4" max="4" width="16" customWidth="1"/>
    <col min="5" max="5" width="62" customWidth="1"/>
    <col min="6" max="6" width="9" customWidth="1"/>
    <col min="7" max="7" width="34" customWidth="1"/>
    <col min="8" max="8" width="7" customWidth="1"/>
    <col min="9" max="9" width="50" customWidth="1"/>
  </cols>
  <sheetData>
    <row r="1" spans="1:9" ht="27.75" customHeight="1" x14ac:dyDescent="0.25">
      <c r="A1" s="12" t="s">
        <v>598</v>
      </c>
      <c r="B1" s="12"/>
      <c r="C1" s="12"/>
      <c r="D1" s="12"/>
      <c r="E1" s="12"/>
      <c r="F1" s="12"/>
      <c r="G1" s="12"/>
      <c r="H1" s="12"/>
      <c r="I1" s="12"/>
    </row>
    <row r="2" spans="1:9" ht="18" customHeight="1" x14ac:dyDescent="0.25">
      <c r="A2" s="11" t="s">
        <v>599</v>
      </c>
      <c r="B2" s="11"/>
      <c r="C2" s="11"/>
      <c r="D2" s="11"/>
      <c r="E2" s="11"/>
      <c r="F2" s="11"/>
      <c r="G2" s="11"/>
      <c r="H2" s="11"/>
      <c r="I2" s="11"/>
    </row>
    <row r="4" spans="1:9" ht="27.75" customHeight="1" x14ac:dyDescent="0.25">
      <c r="A4" s="15" t="s">
        <v>112</v>
      </c>
      <c r="B4" s="15" t="s">
        <v>214</v>
      </c>
      <c r="C4" s="15" t="s">
        <v>215</v>
      </c>
      <c r="D4" s="15" t="s">
        <v>216</v>
      </c>
      <c r="E4" s="15" t="s">
        <v>217</v>
      </c>
      <c r="F4" s="15" t="s">
        <v>218</v>
      </c>
      <c r="G4" s="15" t="s">
        <v>219</v>
      </c>
      <c r="H4" s="15" t="s">
        <v>220</v>
      </c>
      <c r="I4" s="15" t="s">
        <v>221</v>
      </c>
    </row>
    <row r="5" spans="1:9" ht="42" customHeight="1" x14ac:dyDescent="0.25">
      <c r="A5" s="4" t="s">
        <v>114</v>
      </c>
      <c r="B5" s="3" t="s">
        <v>222</v>
      </c>
      <c r="C5" s="22" t="s">
        <v>75</v>
      </c>
      <c r="D5" s="24" t="s">
        <v>223</v>
      </c>
      <c r="E5" s="23" t="s">
        <v>224</v>
      </c>
      <c r="F5" s="26" t="s">
        <v>28</v>
      </c>
      <c r="G5" s="23" t="s">
        <v>29</v>
      </c>
      <c r="H5" s="33" t="s">
        <v>19</v>
      </c>
      <c r="I5" s="2" t="s">
        <v>225</v>
      </c>
    </row>
    <row r="6" spans="1:9" ht="39.75" customHeight="1" x14ac:dyDescent="0.25">
      <c r="A6" s="4"/>
      <c r="B6" s="4"/>
      <c r="C6" s="22" t="s">
        <v>80</v>
      </c>
      <c r="D6" s="24" t="s">
        <v>226</v>
      </c>
      <c r="E6" s="23" t="s">
        <v>227</v>
      </c>
      <c r="F6" s="26" t="s">
        <v>26</v>
      </c>
      <c r="G6" s="23" t="s">
        <v>27</v>
      </c>
      <c r="H6" s="33" t="s">
        <v>19</v>
      </c>
      <c r="I6" s="2"/>
    </row>
    <row r="7" spans="1:9" ht="39.75" customHeight="1" x14ac:dyDescent="0.25">
      <c r="A7" s="4"/>
      <c r="B7" s="4"/>
      <c r="C7" s="22" t="s">
        <v>94</v>
      </c>
      <c r="D7" s="24" t="s">
        <v>228</v>
      </c>
      <c r="E7" s="23" t="s">
        <v>229</v>
      </c>
      <c r="F7" s="26" t="s">
        <v>26</v>
      </c>
      <c r="G7" s="23" t="s">
        <v>27</v>
      </c>
      <c r="H7" s="35" t="s">
        <v>15</v>
      </c>
      <c r="I7" s="2"/>
    </row>
    <row r="8" spans="1:9" ht="39.75" customHeight="1" x14ac:dyDescent="0.25">
      <c r="A8" s="4"/>
      <c r="B8" s="4"/>
      <c r="C8" s="22" t="s">
        <v>100</v>
      </c>
      <c r="D8" s="24" t="s">
        <v>228</v>
      </c>
      <c r="E8" s="23" t="s">
        <v>229</v>
      </c>
      <c r="F8" s="26" t="s">
        <v>26</v>
      </c>
      <c r="G8" s="23" t="s">
        <v>27</v>
      </c>
      <c r="H8" s="35" t="s">
        <v>15</v>
      </c>
      <c r="I8" s="2"/>
    </row>
    <row r="9" spans="1:9" ht="42" customHeight="1" x14ac:dyDescent="0.25">
      <c r="A9" s="32" t="s">
        <v>118</v>
      </c>
      <c r="B9" s="24" t="s">
        <v>230</v>
      </c>
      <c r="C9" s="22" t="s">
        <v>75</v>
      </c>
      <c r="D9" s="24" t="s">
        <v>223</v>
      </c>
      <c r="E9" s="23" t="s">
        <v>224</v>
      </c>
      <c r="F9" s="26" t="s">
        <v>28</v>
      </c>
      <c r="G9" s="23" t="s">
        <v>29</v>
      </c>
      <c r="H9" s="35" t="s">
        <v>15</v>
      </c>
      <c r="I9" s="34" t="s">
        <v>231</v>
      </c>
    </row>
    <row r="10" spans="1:9" ht="39.75" customHeight="1" x14ac:dyDescent="0.25">
      <c r="A10" s="32" t="s">
        <v>120</v>
      </c>
      <c r="B10" s="24" t="s">
        <v>232</v>
      </c>
      <c r="C10" s="22" t="s">
        <v>80</v>
      </c>
      <c r="D10" s="24" t="s">
        <v>233</v>
      </c>
      <c r="E10" s="23" t="s">
        <v>234</v>
      </c>
      <c r="F10" s="26" t="s">
        <v>26</v>
      </c>
      <c r="G10" s="23" t="s">
        <v>27</v>
      </c>
      <c r="H10" s="33" t="s">
        <v>19</v>
      </c>
      <c r="I10" s="34" t="s">
        <v>235</v>
      </c>
    </row>
    <row r="11" spans="1:9" ht="42" customHeight="1" x14ac:dyDescent="0.25">
      <c r="A11" s="4" t="s">
        <v>122</v>
      </c>
      <c r="B11" s="3" t="s">
        <v>236</v>
      </c>
      <c r="C11" s="22" t="s">
        <v>75</v>
      </c>
      <c r="D11" s="24" t="s">
        <v>237</v>
      </c>
      <c r="E11" s="23" t="s">
        <v>238</v>
      </c>
      <c r="F11" s="26" t="s">
        <v>34</v>
      </c>
      <c r="G11" s="23" t="s">
        <v>35</v>
      </c>
      <c r="H11" s="33" t="s">
        <v>19</v>
      </c>
      <c r="I11" s="2" t="s">
        <v>239</v>
      </c>
    </row>
    <row r="12" spans="1:9" ht="39.75" customHeight="1" x14ac:dyDescent="0.25">
      <c r="A12" s="4"/>
      <c r="B12" s="4"/>
      <c r="C12" s="22" t="s">
        <v>80</v>
      </c>
      <c r="D12" s="24" t="s">
        <v>240</v>
      </c>
      <c r="E12" s="23" t="s">
        <v>241</v>
      </c>
      <c r="F12" s="26" t="s">
        <v>26</v>
      </c>
      <c r="G12" s="23" t="s">
        <v>27</v>
      </c>
      <c r="H12" s="33" t="s">
        <v>19</v>
      </c>
      <c r="I12" s="2"/>
    </row>
    <row r="13" spans="1:9" ht="39.75" customHeight="1" x14ac:dyDescent="0.25">
      <c r="A13" s="4"/>
      <c r="B13" s="4"/>
      <c r="C13" s="22" t="s">
        <v>94</v>
      </c>
      <c r="D13" s="24" t="s">
        <v>242</v>
      </c>
      <c r="E13" s="23" t="s">
        <v>243</v>
      </c>
      <c r="F13" s="26" t="s">
        <v>26</v>
      </c>
      <c r="G13" s="23" t="s">
        <v>27</v>
      </c>
      <c r="H13" s="33" t="s">
        <v>19</v>
      </c>
      <c r="I13" s="2"/>
    </row>
    <row r="14" spans="1:9" ht="39.75" customHeight="1" x14ac:dyDescent="0.25">
      <c r="A14" s="4"/>
      <c r="B14" s="4"/>
      <c r="C14" s="22" t="s">
        <v>100</v>
      </c>
      <c r="D14" s="24" t="s">
        <v>242</v>
      </c>
      <c r="E14" s="23" t="s">
        <v>243</v>
      </c>
      <c r="F14" s="26" t="s">
        <v>26</v>
      </c>
      <c r="G14" s="23" t="s">
        <v>27</v>
      </c>
      <c r="H14" s="33" t="s">
        <v>19</v>
      </c>
      <c r="I14" s="2"/>
    </row>
    <row r="15" spans="1:9" ht="39.75" customHeight="1" x14ac:dyDescent="0.25">
      <c r="A15" s="4" t="s">
        <v>126</v>
      </c>
      <c r="B15" s="3" t="s">
        <v>244</v>
      </c>
      <c r="C15" s="22" t="s">
        <v>84</v>
      </c>
      <c r="D15" s="24" t="s">
        <v>245</v>
      </c>
      <c r="E15" s="23" t="s">
        <v>246</v>
      </c>
      <c r="F15" s="26" t="s">
        <v>30</v>
      </c>
      <c r="G15" s="23" t="s">
        <v>31</v>
      </c>
      <c r="H15" s="33" t="s">
        <v>19</v>
      </c>
      <c r="I15" s="2" t="s">
        <v>247</v>
      </c>
    </row>
    <row r="16" spans="1:9" ht="39.75" customHeight="1" x14ac:dyDescent="0.25">
      <c r="A16" s="4"/>
      <c r="B16" s="4"/>
      <c r="C16" s="22" t="s">
        <v>104</v>
      </c>
      <c r="D16" s="24" t="s">
        <v>248</v>
      </c>
      <c r="E16" s="23" t="s">
        <v>249</v>
      </c>
      <c r="F16" s="26" t="s">
        <v>36</v>
      </c>
      <c r="G16" s="23" t="s">
        <v>37</v>
      </c>
      <c r="H16" s="33" t="s">
        <v>19</v>
      </c>
      <c r="I16" s="2"/>
    </row>
    <row r="17" spans="1:9" ht="39.75" customHeight="1" x14ac:dyDescent="0.25">
      <c r="A17" s="4" t="s">
        <v>129</v>
      </c>
      <c r="B17" s="3" t="s">
        <v>244</v>
      </c>
      <c r="C17" s="22" t="s">
        <v>84</v>
      </c>
      <c r="D17" s="24" t="s">
        <v>250</v>
      </c>
      <c r="E17" s="23" t="s">
        <v>251</v>
      </c>
      <c r="F17" s="26" t="s">
        <v>30</v>
      </c>
      <c r="G17" s="23" t="s">
        <v>31</v>
      </c>
      <c r="H17" s="35" t="s">
        <v>15</v>
      </c>
      <c r="I17" s="2" t="s">
        <v>252</v>
      </c>
    </row>
    <row r="18" spans="1:9" ht="39.75" customHeight="1" x14ac:dyDescent="0.25">
      <c r="A18" s="4"/>
      <c r="B18" s="4"/>
      <c r="C18" s="22" t="s">
        <v>89</v>
      </c>
      <c r="D18" s="24" t="s">
        <v>240</v>
      </c>
      <c r="E18" s="23" t="s">
        <v>251</v>
      </c>
      <c r="F18" s="26" t="s">
        <v>30</v>
      </c>
      <c r="G18" s="23" t="s">
        <v>31</v>
      </c>
      <c r="H18" s="35" t="s">
        <v>15</v>
      </c>
      <c r="I18" s="2"/>
    </row>
    <row r="19" spans="1:9" ht="39.75" customHeight="1" x14ac:dyDescent="0.25">
      <c r="A19" s="4"/>
      <c r="B19" s="4"/>
      <c r="C19" s="22" t="s">
        <v>94</v>
      </c>
      <c r="D19" s="24" t="s">
        <v>253</v>
      </c>
      <c r="E19" s="23" t="s">
        <v>254</v>
      </c>
      <c r="F19" s="26" t="s">
        <v>26</v>
      </c>
      <c r="G19" s="23" t="s">
        <v>27</v>
      </c>
      <c r="H19" s="33" t="s">
        <v>19</v>
      </c>
      <c r="I19" s="2"/>
    </row>
    <row r="20" spans="1:9" ht="39.75" customHeight="1" x14ac:dyDescent="0.25">
      <c r="A20" s="4"/>
      <c r="B20" s="4"/>
      <c r="C20" s="22" t="s">
        <v>100</v>
      </c>
      <c r="D20" s="24" t="s">
        <v>253</v>
      </c>
      <c r="E20" s="23" t="s">
        <v>254</v>
      </c>
      <c r="F20" s="26" t="s">
        <v>26</v>
      </c>
      <c r="G20" s="23" t="s">
        <v>27</v>
      </c>
      <c r="H20" s="33" t="s">
        <v>19</v>
      </c>
      <c r="I20" s="2"/>
    </row>
    <row r="21" spans="1:9" ht="39.75" customHeight="1" x14ac:dyDescent="0.25">
      <c r="A21" s="4" t="s">
        <v>133</v>
      </c>
      <c r="B21" s="3" t="s">
        <v>244</v>
      </c>
      <c r="C21" s="22" t="s">
        <v>94</v>
      </c>
      <c r="D21" s="24" t="s">
        <v>255</v>
      </c>
      <c r="E21" s="23" t="s">
        <v>256</v>
      </c>
      <c r="F21" s="26" t="s">
        <v>26</v>
      </c>
      <c r="G21" s="23" t="s">
        <v>27</v>
      </c>
      <c r="H21" s="33" t="s">
        <v>19</v>
      </c>
      <c r="I21" s="2" t="s">
        <v>257</v>
      </c>
    </row>
    <row r="22" spans="1:9" ht="39.75" customHeight="1" x14ac:dyDescent="0.25">
      <c r="A22" s="4"/>
      <c r="B22" s="4"/>
      <c r="C22" s="22" t="s">
        <v>100</v>
      </c>
      <c r="D22" s="24" t="s">
        <v>255</v>
      </c>
      <c r="E22" s="23" t="s">
        <v>256</v>
      </c>
      <c r="F22" s="26" t="s">
        <v>26</v>
      </c>
      <c r="G22" s="23" t="s">
        <v>27</v>
      </c>
      <c r="H22" s="33" t="s">
        <v>19</v>
      </c>
      <c r="I22" s="2"/>
    </row>
    <row r="23" spans="1:9" ht="42" customHeight="1" x14ac:dyDescent="0.25">
      <c r="A23" s="4"/>
      <c r="B23" s="4"/>
      <c r="C23" s="22" t="s">
        <v>104</v>
      </c>
      <c r="D23" s="24" t="s">
        <v>258</v>
      </c>
      <c r="E23" s="23" t="s">
        <v>259</v>
      </c>
      <c r="F23" s="26" t="s">
        <v>36</v>
      </c>
      <c r="G23" s="23" t="s">
        <v>37</v>
      </c>
      <c r="H23" s="33" t="s">
        <v>19</v>
      </c>
      <c r="I23" s="2"/>
    </row>
    <row r="24" spans="1:9" ht="39.75" customHeight="1" x14ac:dyDescent="0.25">
      <c r="A24" s="4" t="s">
        <v>136</v>
      </c>
      <c r="B24" s="3" t="s">
        <v>244</v>
      </c>
      <c r="C24" s="22" t="s">
        <v>94</v>
      </c>
      <c r="D24" s="24" t="s">
        <v>260</v>
      </c>
      <c r="E24" s="23" t="s">
        <v>261</v>
      </c>
      <c r="F24" s="26" t="s">
        <v>26</v>
      </c>
      <c r="G24" s="23" t="s">
        <v>27</v>
      </c>
      <c r="H24" s="36" t="s">
        <v>23</v>
      </c>
      <c r="I24" s="2" t="s">
        <v>262</v>
      </c>
    </row>
    <row r="25" spans="1:9" ht="39.75" customHeight="1" x14ac:dyDescent="0.25">
      <c r="A25" s="4"/>
      <c r="B25" s="4"/>
      <c r="C25" s="22" t="s">
        <v>100</v>
      </c>
      <c r="D25" s="24" t="s">
        <v>260</v>
      </c>
      <c r="E25" s="23" t="s">
        <v>261</v>
      </c>
      <c r="F25" s="26" t="s">
        <v>26</v>
      </c>
      <c r="G25" s="23" t="s">
        <v>27</v>
      </c>
      <c r="H25" s="36" t="s">
        <v>23</v>
      </c>
      <c r="I25" s="2"/>
    </row>
    <row r="26" spans="1:9" ht="39.75" customHeight="1" x14ac:dyDescent="0.25">
      <c r="A26" s="4" t="s">
        <v>137</v>
      </c>
      <c r="B26" s="3" t="s">
        <v>244</v>
      </c>
      <c r="C26" s="22" t="s">
        <v>89</v>
      </c>
      <c r="D26" s="24" t="s">
        <v>263</v>
      </c>
      <c r="E26" s="23" t="s">
        <v>264</v>
      </c>
      <c r="F26" s="26" t="s">
        <v>30</v>
      </c>
      <c r="G26" s="23" t="s">
        <v>31</v>
      </c>
      <c r="H26" s="33" t="s">
        <v>19</v>
      </c>
      <c r="I26" s="2" t="s">
        <v>265</v>
      </c>
    </row>
    <row r="27" spans="1:9" ht="39.75" customHeight="1" x14ac:dyDescent="0.25">
      <c r="A27" s="4"/>
      <c r="B27" s="4"/>
      <c r="C27" s="22" t="s">
        <v>94</v>
      </c>
      <c r="D27" s="24" t="s">
        <v>266</v>
      </c>
      <c r="E27" s="23" t="s">
        <v>267</v>
      </c>
      <c r="F27" s="26" t="s">
        <v>26</v>
      </c>
      <c r="G27" s="23" t="s">
        <v>27</v>
      </c>
      <c r="H27" s="33" t="s">
        <v>19</v>
      </c>
      <c r="I27" s="2"/>
    </row>
    <row r="28" spans="1:9" ht="39.75" customHeight="1" x14ac:dyDescent="0.25">
      <c r="A28" s="4"/>
      <c r="B28" s="4"/>
      <c r="C28" s="22" t="s">
        <v>100</v>
      </c>
      <c r="D28" s="24" t="s">
        <v>266</v>
      </c>
      <c r="E28" s="23" t="s">
        <v>267</v>
      </c>
      <c r="F28" s="26" t="s">
        <v>26</v>
      </c>
      <c r="G28" s="23" t="s">
        <v>27</v>
      </c>
      <c r="H28" s="33" t="s">
        <v>19</v>
      </c>
      <c r="I28" s="2"/>
    </row>
    <row r="29" spans="1:9" ht="42" customHeight="1" x14ac:dyDescent="0.25">
      <c r="A29" s="4"/>
      <c r="B29" s="4"/>
      <c r="C29" s="22" t="s">
        <v>104</v>
      </c>
      <c r="D29" s="24" t="s">
        <v>268</v>
      </c>
      <c r="E29" s="23" t="s">
        <v>269</v>
      </c>
      <c r="F29" s="26" t="s">
        <v>34</v>
      </c>
      <c r="G29" s="23" t="s">
        <v>35</v>
      </c>
      <c r="H29" s="33" t="s">
        <v>19</v>
      </c>
      <c r="I29" s="2"/>
    </row>
  </sheetData>
  <mergeCells count="23">
    <mergeCell ref="A24:A25"/>
    <mergeCell ref="B24:B25"/>
    <mergeCell ref="I24:I25"/>
    <mergeCell ref="A26:A29"/>
    <mergeCell ref="B26:B29"/>
    <mergeCell ref="I26:I29"/>
    <mergeCell ref="A17:A20"/>
    <mergeCell ref="B17:B20"/>
    <mergeCell ref="I17:I20"/>
    <mergeCell ref="A21:A23"/>
    <mergeCell ref="B21:B23"/>
    <mergeCell ref="I21:I23"/>
    <mergeCell ref="A11:A14"/>
    <mergeCell ref="B11:B14"/>
    <mergeCell ref="I11:I14"/>
    <mergeCell ref="A15:A16"/>
    <mergeCell ref="B15:B16"/>
    <mergeCell ref="I15:I16"/>
    <mergeCell ref="A1:I1"/>
    <mergeCell ref="A2:I2"/>
    <mergeCell ref="A5:A8"/>
    <mergeCell ref="B5:B8"/>
    <mergeCell ref="I5:I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4"/>
  <sheetViews>
    <sheetView showGridLines="0" zoomScaleNormal="100" workbookViewId="0">
      <pane xSplit="4" ySplit="4" topLeftCell="G5" activePane="bottomRight" state="frozen"/>
      <selection pane="topRight" activeCell="G1" sqref="G1"/>
      <selection pane="bottomLeft" activeCell="A14" sqref="A14"/>
      <selection pane="bottomRight" sqref="A1:I1"/>
    </sheetView>
  </sheetViews>
  <sheetFormatPr defaultColWidth="8.5703125" defaultRowHeight="15" x14ac:dyDescent="0.25"/>
  <cols>
    <col min="1" max="1" width="32" customWidth="1"/>
    <col min="2" max="2" width="14" customWidth="1"/>
    <col min="3" max="3" width="20" customWidth="1"/>
    <col min="4" max="4" width="16" customWidth="1"/>
    <col min="5" max="5" width="62" customWidth="1"/>
    <col min="6" max="6" width="9" customWidth="1"/>
    <col min="7" max="7" width="34" customWidth="1"/>
    <col min="8" max="8" width="7" customWidth="1"/>
    <col min="9" max="9" width="50" customWidth="1"/>
  </cols>
  <sheetData>
    <row r="1" spans="1:9" ht="27.75" customHeight="1" x14ac:dyDescent="0.25">
      <c r="A1" s="12" t="s">
        <v>600</v>
      </c>
      <c r="B1" s="12"/>
      <c r="C1" s="12"/>
      <c r="D1" s="12"/>
      <c r="E1" s="12"/>
      <c r="F1" s="12"/>
      <c r="G1" s="12"/>
      <c r="H1" s="12"/>
      <c r="I1" s="12"/>
    </row>
    <row r="2" spans="1:9" ht="18" customHeight="1" x14ac:dyDescent="0.25">
      <c r="A2" s="11" t="s">
        <v>599</v>
      </c>
      <c r="B2" s="11"/>
      <c r="C2" s="11"/>
      <c r="D2" s="11"/>
      <c r="E2" s="11"/>
      <c r="F2" s="11"/>
      <c r="G2" s="11"/>
      <c r="H2" s="11"/>
      <c r="I2" s="11"/>
    </row>
    <row r="4" spans="1:9" ht="27.75" customHeight="1" x14ac:dyDescent="0.25">
      <c r="A4" s="15" t="s">
        <v>112</v>
      </c>
      <c r="B4" s="15" t="s">
        <v>214</v>
      </c>
      <c r="C4" s="15" t="s">
        <v>215</v>
      </c>
      <c r="D4" s="15" t="s">
        <v>216</v>
      </c>
      <c r="E4" s="15" t="s">
        <v>217</v>
      </c>
      <c r="F4" s="15" t="s">
        <v>218</v>
      </c>
      <c r="G4" s="15" t="s">
        <v>219</v>
      </c>
      <c r="H4" s="15" t="s">
        <v>220</v>
      </c>
      <c r="I4" s="15" t="s">
        <v>221</v>
      </c>
    </row>
    <row r="5" spans="1:9" ht="42" customHeight="1" x14ac:dyDescent="0.25">
      <c r="A5" s="4" t="s">
        <v>142</v>
      </c>
      <c r="B5" s="3" t="s">
        <v>270</v>
      </c>
      <c r="C5" s="22" t="s">
        <v>75</v>
      </c>
      <c r="D5" s="24" t="s">
        <v>271</v>
      </c>
      <c r="E5" s="23" t="s">
        <v>272</v>
      </c>
      <c r="F5" s="26" t="s">
        <v>32</v>
      </c>
      <c r="G5" s="23" t="s">
        <v>33</v>
      </c>
      <c r="H5" s="37" t="s">
        <v>17</v>
      </c>
      <c r="I5" s="2" t="s">
        <v>273</v>
      </c>
    </row>
    <row r="6" spans="1:9" ht="39.75" customHeight="1" x14ac:dyDescent="0.25">
      <c r="A6" s="4"/>
      <c r="B6" s="4"/>
      <c r="C6" s="22" t="s">
        <v>94</v>
      </c>
      <c r="D6" s="24" t="s">
        <v>274</v>
      </c>
      <c r="E6" s="23" t="s">
        <v>275</v>
      </c>
      <c r="F6" s="26" t="s">
        <v>26</v>
      </c>
      <c r="G6" s="23" t="s">
        <v>27</v>
      </c>
      <c r="H6" s="37" t="s">
        <v>17</v>
      </c>
      <c r="I6" s="2"/>
    </row>
    <row r="7" spans="1:9" ht="39.75" customHeight="1" x14ac:dyDescent="0.25">
      <c r="A7" s="4"/>
      <c r="B7" s="4"/>
      <c r="C7" s="22" t="s">
        <v>100</v>
      </c>
      <c r="D7" s="24" t="s">
        <v>274</v>
      </c>
      <c r="E7" s="23" t="s">
        <v>275</v>
      </c>
      <c r="F7" s="26" t="s">
        <v>26</v>
      </c>
      <c r="G7" s="23" t="s">
        <v>27</v>
      </c>
      <c r="H7" s="37" t="s">
        <v>17</v>
      </c>
      <c r="I7" s="2"/>
    </row>
    <row r="8" spans="1:9" ht="42" customHeight="1" x14ac:dyDescent="0.25">
      <c r="A8" s="4"/>
      <c r="B8" s="4"/>
      <c r="C8" s="22" t="s">
        <v>104</v>
      </c>
      <c r="D8" s="24" t="s">
        <v>276</v>
      </c>
      <c r="E8" s="23" t="s">
        <v>277</v>
      </c>
      <c r="F8" s="26" t="s">
        <v>36</v>
      </c>
      <c r="G8" s="23" t="s">
        <v>37</v>
      </c>
      <c r="H8" s="37" t="s">
        <v>17</v>
      </c>
      <c r="I8" s="2"/>
    </row>
    <row r="9" spans="1:9" ht="39.75" customHeight="1" x14ac:dyDescent="0.25">
      <c r="A9" s="4" t="s">
        <v>146</v>
      </c>
      <c r="B9" s="3" t="s">
        <v>278</v>
      </c>
      <c r="C9" s="22" t="s">
        <v>84</v>
      </c>
      <c r="D9" s="24" t="s">
        <v>279</v>
      </c>
      <c r="E9" s="23" t="s">
        <v>280</v>
      </c>
      <c r="F9" s="26" t="s">
        <v>30</v>
      </c>
      <c r="G9" s="23" t="s">
        <v>31</v>
      </c>
      <c r="H9" s="35" t="s">
        <v>15</v>
      </c>
      <c r="I9" s="2" t="s">
        <v>281</v>
      </c>
    </row>
    <row r="10" spans="1:9" ht="39.75" customHeight="1" x14ac:dyDescent="0.25">
      <c r="A10" s="4"/>
      <c r="B10" s="4"/>
      <c r="C10" s="22" t="s">
        <v>89</v>
      </c>
      <c r="D10" s="24" t="s">
        <v>245</v>
      </c>
      <c r="E10" s="23" t="s">
        <v>282</v>
      </c>
      <c r="F10" s="26" t="s">
        <v>30</v>
      </c>
      <c r="G10" s="23" t="s">
        <v>31</v>
      </c>
      <c r="H10" s="35" t="s">
        <v>15</v>
      </c>
      <c r="I10" s="2"/>
    </row>
    <row r="11" spans="1:9" ht="39.75" customHeight="1" x14ac:dyDescent="0.25">
      <c r="A11" s="32" t="s">
        <v>149</v>
      </c>
      <c r="B11" s="24" t="s">
        <v>283</v>
      </c>
      <c r="C11" s="22" t="s">
        <v>84</v>
      </c>
      <c r="D11" s="24" t="s">
        <v>284</v>
      </c>
      <c r="E11" s="23" t="s">
        <v>285</v>
      </c>
      <c r="F11" s="26" t="s">
        <v>30</v>
      </c>
      <c r="G11" s="23" t="s">
        <v>31</v>
      </c>
      <c r="H11" s="38" t="s">
        <v>21</v>
      </c>
      <c r="I11" s="34" t="s">
        <v>286</v>
      </c>
    </row>
    <row r="12" spans="1:9" ht="39.75" customHeight="1" x14ac:dyDescent="0.25">
      <c r="A12" s="4" t="s">
        <v>151</v>
      </c>
      <c r="B12" s="3" t="s">
        <v>287</v>
      </c>
      <c r="C12" s="22" t="s">
        <v>75</v>
      </c>
      <c r="D12" s="24" t="s">
        <v>288</v>
      </c>
      <c r="E12" s="23" t="s">
        <v>289</v>
      </c>
      <c r="F12" s="26" t="s">
        <v>30</v>
      </c>
      <c r="G12" s="23" t="s">
        <v>31</v>
      </c>
      <c r="H12" s="37" t="s">
        <v>17</v>
      </c>
      <c r="I12" s="2" t="s">
        <v>290</v>
      </c>
    </row>
    <row r="13" spans="1:9" ht="39.75" customHeight="1" x14ac:dyDescent="0.25">
      <c r="A13" s="4"/>
      <c r="B13" s="4"/>
      <c r="C13" s="22" t="s">
        <v>94</v>
      </c>
      <c r="D13" s="24" t="s">
        <v>291</v>
      </c>
      <c r="E13" s="23" t="s">
        <v>292</v>
      </c>
      <c r="F13" s="26" t="s">
        <v>26</v>
      </c>
      <c r="G13" s="23" t="s">
        <v>27</v>
      </c>
      <c r="H13" s="37" t="s">
        <v>17</v>
      </c>
      <c r="I13" s="2"/>
    </row>
    <row r="14" spans="1:9" ht="39.75" customHeight="1" x14ac:dyDescent="0.25">
      <c r="A14" s="4"/>
      <c r="B14" s="4"/>
      <c r="C14" s="22" t="s">
        <v>100</v>
      </c>
      <c r="D14" s="24" t="s">
        <v>291</v>
      </c>
      <c r="E14" s="23" t="s">
        <v>292</v>
      </c>
      <c r="F14" s="26" t="s">
        <v>26</v>
      </c>
      <c r="G14" s="23" t="s">
        <v>27</v>
      </c>
      <c r="H14" s="37" t="s">
        <v>17</v>
      </c>
      <c r="I14" s="2"/>
    </row>
    <row r="15" spans="1:9" ht="42" customHeight="1" x14ac:dyDescent="0.25">
      <c r="A15" s="4"/>
      <c r="B15" s="4"/>
      <c r="C15" s="22" t="s">
        <v>104</v>
      </c>
      <c r="D15" s="24" t="s">
        <v>293</v>
      </c>
      <c r="E15" s="23" t="s">
        <v>294</v>
      </c>
      <c r="F15" s="26" t="s">
        <v>36</v>
      </c>
      <c r="G15" s="23" t="s">
        <v>37</v>
      </c>
      <c r="H15" s="37" t="s">
        <v>17</v>
      </c>
      <c r="I15" s="2"/>
    </row>
    <row r="16" spans="1:9" ht="39.75" customHeight="1" x14ac:dyDescent="0.25">
      <c r="A16" s="4" t="s">
        <v>155</v>
      </c>
      <c r="B16" s="3" t="s">
        <v>295</v>
      </c>
      <c r="C16" s="22" t="s">
        <v>94</v>
      </c>
      <c r="D16" s="24" t="s">
        <v>296</v>
      </c>
      <c r="E16" s="23" t="s">
        <v>297</v>
      </c>
      <c r="F16" s="26" t="s">
        <v>26</v>
      </c>
      <c r="G16" s="23" t="s">
        <v>27</v>
      </c>
      <c r="H16" s="33" t="s">
        <v>19</v>
      </c>
      <c r="I16" s="2" t="s">
        <v>298</v>
      </c>
    </row>
    <row r="17" spans="1:9" ht="39.75" customHeight="1" x14ac:dyDescent="0.25">
      <c r="A17" s="4"/>
      <c r="B17" s="4"/>
      <c r="C17" s="22" t="s">
        <v>100</v>
      </c>
      <c r="D17" s="24" t="s">
        <v>296</v>
      </c>
      <c r="E17" s="23" t="s">
        <v>297</v>
      </c>
      <c r="F17" s="26" t="s">
        <v>26</v>
      </c>
      <c r="G17" s="23" t="s">
        <v>27</v>
      </c>
      <c r="H17" s="33" t="s">
        <v>19</v>
      </c>
      <c r="I17" s="2"/>
    </row>
    <row r="18" spans="1:9" ht="39.75" customHeight="1" x14ac:dyDescent="0.25">
      <c r="A18" s="4"/>
      <c r="B18" s="4"/>
      <c r="C18" s="22" t="s">
        <v>104</v>
      </c>
      <c r="D18" s="24" t="s">
        <v>226</v>
      </c>
      <c r="E18" s="23" t="s">
        <v>299</v>
      </c>
      <c r="F18" s="26" t="s">
        <v>36</v>
      </c>
      <c r="G18" s="23" t="s">
        <v>37</v>
      </c>
      <c r="H18" s="33" t="s">
        <v>19</v>
      </c>
      <c r="I18" s="2"/>
    </row>
    <row r="19" spans="1:9" ht="39.75" customHeight="1" x14ac:dyDescent="0.25">
      <c r="A19" s="4" t="s">
        <v>158</v>
      </c>
      <c r="B19" s="3" t="s">
        <v>300</v>
      </c>
      <c r="C19" s="22" t="s">
        <v>84</v>
      </c>
      <c r="D19" s="24" t="s">
        <v>301</v>
      </c>
      <c r="E19" s="23" t="s">
        <v>302</v>
      </c>
      <c r="F19" s="26" t="s">
        <v>30</v>
      </c>
      <c r="G19" s="23" t="s">
        <v>31</v>
      </c>
      <c r="H19" s="33" t="s">
        <v>19</v>
      </c>
      <c r="I19" s="2" t="s">
        <v>303</v>
      </c>
    </row>
    <row r="20" spans="1:9" ht="42" customHeight="1" x14ac:dyDescent="0.25">
      <c r="A20" s="4"/>
      <c r="B20" s="4"/>
      <c r="C20" s="22" t="s">
        <v>89</v>
      </c>
      <c r="D20" s="24" t="s">
        <v>304</v>
      </c>
      <c r="E20" s="23" t="s">
        <v>305</v>
      </c>
      <c r="F20" s="26" t="s">
        <v>30</v>
      </c>
      <c r="G20" s="23" t="s">
        <v>31</v>
      </c>
      <c r="H20" s="33" t="s">
        <v>19</v>
      </c>
      <c r="I20" s="2"/>
    </row>
    <row r="21" spans="1:9" ht="55.5" customHeight="1" x14ac:dyDescent="0.25">
      <c r="A21" s="4" t="s">
        <v>161</v>
      </c>
      <c r="B21" s="3" t="s">
        <v>306</v>
      </c>
      <c r="C21" s="22" t="s">
        <v>75</v>
      </c>
      <c r="D21" s="24" t="s">
        <v>307</v>
      </c>
      <c r="E21" s="23" t="s">
        <v>308</v>
      </c>
      <c r="F21" s="26" t="s">
        <v>309</v>
      </c>
      <c r="G21" s="23" t="s">
        <v>310</v>
      </c>
      <c r="H21" s="33" t="s">
        <v>19</v>
      </c>
      <c r="I21" s="2" t="s">
        <v>311</v>
      </c>
    </row>
    <row r="22" spans="1:9" ht="55.5" customHeight="1" x14ac:dyDescent="0.25">
      <c r="A22" s="4"/>
      <c r="B22" s="4"/>
      <c r="C22" s="22" t="s">
        <v>104</v>
      </c>
      <c r="D22" s="24" t="s">
        <v>312</v>
      </c>
      <c r="E22" s="23" t="s">
        <v>313</v>
      </c>
      <c r="F22" s="26" t="s">
        <v>314</v>
      </c>
      <c r="G22" s="23" t="s">
        <v>310</v>
      </c>
      <c r="H22" s="33" t="s">
        <v>19</v>
      </c>
      <c r="I22" s="2"/>
    </row>
    <row r="23" spans="1:9" ht="42" customHeight="1" x14ac:dyDescent="0.25">
      <c r="A23" s="4" t="s">
        <v>164</v>
      </c>
      <c r="B23" s="3" t="s">
        <v>315</v>
      </c>
      <c r="C23" s="22" t="s">
        <v>75</v>
      </c>
      <c r="D23" s="24" t="s">
        <v>316</v>
      </c>
      <c r="E23" s="23" t="s">
        <v>317</v>
      </c>
      <c r="F23" s="26" t="s">
        <v>34</v>
      </c>
      <c r="G23" s="23" t="s">
        <v>35</v>
      </c>
      <c r="H23" s="33" t="s">
        <v>19</v>
      </c>
      <c r="I23" s="2" t="s">
        <v>318</v>
      </c>
    </row>
    <row r="24" spans="1:9" ht="39.75" customHeight="1" x14ac:dyDescent="0.25">
      <c r="A24" s="4"/>
      <c r="B24" s="4"/>
      <c r="C24" s="22" t="s">
        <v>104</v>
      </c>
      <c r="D24" s="24" t="s">
        <v>319</v>
      </c>
      <c r="E24" s="23" t="s">
        <v>320</v>
      </c>
      <c r="F24" s="26" t="s">
        <v>36</v>
      </c>
      <c r="G24" s="23" t="s">
        <v>37</v>
      </c>
      <c r="H24" s="33" t="s">
        <v>19</v>
      </c>
      <c r="I24" s="2"/>
    </row>
  </sheetData>
  <mergeCells count="23">
    <mergeCell ref="A21:A22"/>
    <mergeCell ref="B21:B22"/>
    <mergeCell ref="I21:I22"/>
    <mergeCell ref="A23:A24"/>
    <mergeCell ref="B23:B24"/>
    <mergeCell ref="I23:I24"/>
    <mergeCell ref="A16:A18"/>
    <mergeCell ref="B16:B18"/>
    <mergeCell ref="I16:I18"/>
    <mergeCell ref="A19:A20"/>
    <mergeCell ref="B19:B20"/>
    <mergeCell ref="I19:I20"/>
    <mergeCell ref="A9:A10"/>
    <mergeCell ref="B9:B10"/>
    <mergeCell ref="I9:I10"/>
    <mergeCell ref="A12:A15"/>
    <mergeCell ref="B12:B15"/>
    <mergeCell ref="I12:I15"/>
    <mergeCell ref="A1:I1"/>
    <mergeCell ref="A2:I2"/>
    <mergeCell ref="A5:A8"/>
    <mergeCell ref="B5:B8"/>
    <mergeCell ref="I5:I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3"/>
  <sheetViews>
    <sheetView showGridLines="0" zoomScaleNormal="100" workbookViewId="0">
      <pane xSplit="4" ySplit="4" topLeftCell="G20" activePane="bottomRight" state="frozen"/>
      <selection pane="topRight" activeCell="G1" sqref="G1"/>
      <selection pane="bottomLeft" activeCell="A5" sqref="A5"/>
      <selection pane="bottomRight" activeCell="A17" sqref="A17:A19"/>
    </sheetView>
  </sheetViews>
  <sheetFormatPr defaultColWidth="8.5703125" defaultRowHeight="15" x14ac:dyDescent="0.25"/>
  <cols>
    <col min="1" max="1" width="32" customWidth="1"/>
    <col min="2" max="2" width="14" customWidth="1"/>
    <col min="3" max="3" width="20" customWidth="1"/>
    <col min="4" max="4" width="16" customWidth="1"/>
    <col min="5" max="5" width="62" customWidth="1"/>
    <col min="6" max="6" width="9" customWidth="1"/>
    <col min="7" max="7" width="34" customWidth="1"/>
    <col min="8" max="8" width="7" customWidth="1"/>
    <col min="9" max="9" width="50" customWidth="1"/>
  </cols>
  <sheetData>
    <row r="1" spans="1:9" ht="27.75" customHeight="1" x14ac:dyDescent="0.25">
      <c r="A1" s="12" t="s">
        <v>601</v>
      </c>
      <c r="B1" s="12"/>
      <c r="C1" s="12"/>
      <c r="D1" s="12"/>
      <c r="E1" s="12"/>
      <c r="F1" s="12"/>
      <c r="G1" s="12"/>
      <c r="H1" s="12"/>
      <c r="I1" s="12"/>
    </row>
    <row r="2" spans="1:9" ht="18" customHeight="1" x14ac:dyDescent="0.25">
      <c r="A2" s="11" t="s">
        <v>599</v>
      </c>
      <c r="B2" s="11"/>
      <c r="C2" s="11"/>
      <c r="D2" s="11"/>
      <c r="E2" s="11"/>
      <c r="F2" s="11"/>
      <c r="G2" s="11"/>
      <c r="H2" s="11"/>
      <c r="I2" s="11"/>
    </row>
    <row r="4" spans="1:9" ht="27.75" customHeight="1" x14ac:dyDescent="0.25">
      <c r="A4" s="15" t="s">
        <v>112</v>
      </c>
      <c r="B4" s="15" t="s">
        <v>214</v>
      </c>
      <c r="C4" s="15" t="s">
        <v>215</v>
      </c>
      <c r="D4" s="15" t="s">
        <v>216</v>
      </c>
      <c r="E4" s="15" t="s">
        <v>217</v>
      </c>
      <c r="F4" s="15" t="s">
        <v>218</v>
      </c>
      <c r="G4" s="15" t="s">
        <v>219</v>
      </c>
      <c r="H4" s="15" t="s">
        <v>220</v>
      </c>
      <c r="I4" s="15" t="s">
        <v>221</v>
      </c>
    </row>
    <row r="5" spans="1:9" ht="42" customHeight="1" x14ac:dyDescent="0.25">
      <c r="A5" s="4" t="s">
        <v>731</v>
      </c>
      <c r="B5" s="3" t="s">
        <v>321</v>
      </c>
      <c r="C5" s="22" t="s">
        <v>75</v>
      </c>
      <c r="D5" s="24" t="s">
        <v>301</v>
      </c>
      <c r="E5" s="23" t="s">
        <v>322</v>
      </c>
      <c r="F5" s="26" t="s">
        <v>26</v>
      </c>
      <c r="G5" s="23" t="s">
        <v>27</v>
      </c>
      <c r="H5" s="35" t="s">
        <v>15</v>
      </c>
      <c r="I5" s="2" t="s">
        <v>323</v>
      </c>
    </row>
    <row r="6" spans="1:9" ht="39.75" customHeight="1" x14ac:dyDescent="0.25">
      <c r="A6" s="4"/>
      <c r="B6" s="4"/>
      <c r="C6" s="22" t="s">
        <v>80</v>
      </c>
      <c r="D6" s="24" t="s">
        <v>23</v>
      </c>
      <c r="E6" s="23" t="s">
        <v>324</v>
      </c>
      <c r="F6" s="26" t="s">
        <v>23</v>
      </c>
      <c r="G6" s="23" t="s">
        <v>310</v>
      </c>
      <c r="H6" s="36" t="s">
        <v>23</v>
      </c>
      <c r="I6" s="2"/>
    </row>
    <row r="7" spans="1:9" ht="39.75" customHeight="1" x14ac:dyDescent="0.25">
      <c r="A7" s="4"/>
      <c r="B7" s="4"/>
      <c r="C7" s="22" t="s">
        <v>84</v>
      </c>
      <c r="D7" s="24" t="s">
        <v>23</v>
      </c>
      <c r="E7" s="23" t="s">
        <v>324</v>
      </c>
      <c r="F7" s="26" t="s">
        <v>23</v>
      </c>
      <c r="G7" s="23" t="s">
        <v>310</v>
      </c>
      <c r="H7" s="36" t="s">
        <v>23</v>
      </c>
      <c r="I7" s="2"/>
    </row>
    <row r="8" spans="1:9" ht="39.75" customHeight="1" x14ac:dyDescent="0.25">
      <c r="A8" s="4"/>
      <c r="B8" s="4"/>
      <c r="C8" s="22" t="s">
        <v>89</v>
      </c>
      <c r="D8" s="24" t="s">
        <v>23</v>
      </c>
      <c r="E8" s="23" t="s">
        <v>324</v>
      </c>
      <c r="F8" s="26" t="s">
        <v>23</v>
      </c>
      <c r="G8" s="23" t="s">
        <v>310</v>
      </c>
      <c r="H8" s="36" t="s">
        <v>23</v>
      </c>
      <c r="I8" s="2"/>
    </row>
    <row r="9" spans="1:9" ht="39.75" customHeight="1" x14ac:dyDescent="0.25">
      <c r="A9" s="4"/>
      <c r="B9" s="4"/>
      <c r="C9" s="22" t="s">
        <v>94</v>
      </c>
      <c r="D9" s="24" t="s">
        <v>23</v>
      </c>
      <c r="E9" s="23" t="s">
        <v>324</v>
      </c>
      <c r="F9" s="26" t="s">
        <v>23</v>
      </c>
      <c r="G9" s="23" t="s">
        <v>310</v>
      </c>
      <c r="H9" s="36" t="s">
        <v>23</v>
      </c>
      <c r="I9" s="2"/>
    </row>
    <row r="10" spans="1:9" ht="39.75" customHeight="1" x14ac:dyDescent="0.25">
      <c r="A10" s="4"/>
      <c r="B10" s="4"/>
      <c r="C10" s="22" t="s">
        <v>100</v>
      </c>
      <c r="D10" s="24" t="s">
        <v>23</v>
      </c>
      <c r="E10" s="23" t="s">
        <v>324</v>
      </c>
      <c r="F10" s="26" t="s">
        <v>23</v>
      </c>
      <c r="G10" s="23" t="s">
        <v>310</v>
      </c>
      <c r="H10" s="36" t="s">
        <v>23</v>
      </c>
      <c r="I10" s="2"/>
    </row>
    <row r="11" spans="1:9" ht="39.75" customHeight="1" x14ac:dyDescent="0.25">
      <c r="A11" s="4"/>
      <c r="B11" s="4"/>
      <c r="C11" s="22" t="s">
        <v>104</v>
      </c>
      <c r="D11" s="24" t="s">
        <v>23</v>
      </c>
      <c r="E11" s="23" t="s">
        <v>324</v>
      </c>
      <c r="F11" s="26" t="s">
        <v>23</v>
      </c>
      <c r="G11" s="23" t="s">
        <v>310</v>
      </c>
      <c r="H11" s="36" t="s">
        <v>23</v>
      </c>
      <c r="I11" s="2"/>
    </row>
    <row r="12" spans="1:9" ht="39.75" customHeight="1" x14ac:dyDescent="0.25">
      <c r="A12" s="32" t="s">
        <v>732</v>
      </c>
      <c r="B12" s="24" t="s">
        <v>325</v>
      </c>
      <c r="C12" s="22" t="s">
        <v>75</v>
      </c>
      <c r="D12" s="24" t="s">
        <v>284</v>
      </c>
      <c r="E12" s="23" t="s">
        <v>326</v>
      </c>
      <c r="F12" s="26" t="s">
        <v>26</v>
      </c>
      <c r="G12" s="23" t="s">
        <v>27</v>
      </c>
      <c r="H12" s="35" t="s">
        <v>15</v>
      </c>
      <c r="I12" s="34" t="s">
        <v>327</v>
      </c>
    </row>
    <row r="13" spans="1:9" ht="39.75" customHeight="1" x14ac:dyDescent="0.25">
      <c r="A13" s="32" t="s">
        <v>733</v>
      </c>
      <c r="B13" s="24" t="s">
        <v>328</v>
      </c>
      <c r="C13" s="22" t="s">
        <v>75</v>
      </c>
      <c r="D13" s="24" t="s">
        <v>279</v>
      </c>
      <c r="E13" s="23" t="s">
        <v>329</v>
      </c>
      <c r="F13" s="26" t="s">
        <v>26</v>
      </c>
      <c r="G13" s="23" t="s">
        <v>27</v>
      </c>
      <c r="H13" s="35" t="s">
        <v>15</v>
      </c>
      <c r="I13" s="34" t="s">
        <v>330</v>
      </c>
    </row>
    <row r="14" spans="1:9" ht="39.75" customHeight="1" x14ac:dyDescent="0.25">
      <c r="A14" s="32" t="s">
        <v>734</v>
      </c>
      <c r="B14" s="24" t="s">
        <v>331</v>
      </c>
      <c r="C14" s="22" t="s">
        <v>75</v>
      </c>
      <c r="D14" s="24" t="s">
        <v>332</v>
      </c>
      <c r="E14" s="23" t="s">
        <v>333</v>
      </c>
      <c r="F14" s="26" t="s">
        <v>40</v>
      </c>
      <c r="G14" s="23" t="s">
        <v>41</v>
      </c>
      <c r="H14" s="35" t="s">
        <v>15</v>
      </c>
      <c r="I14" s="34" t="s">
        <v>334</v>
      </c>
    </row>
    <row r="15" spans="1:9" ht="42" customHeight="1" x14ac:dyDescent="0.25">
      <c r="A15" s="32" t="s">
        <v>735</v>
      </c>
      <c r="B15" s="24" t="s">
        <v>335</v>
      </c>
      <c r="C15" s="22" t="s">
        <v>75</v>
      </c>
      <c r="D15" s="24" t="s">
        <v>336</v>
      </c>
      <c r="E15" s="23" t="s">
        <v>337</v>
      </c>
      <c r="F15" s="26" t="s">
        <v>26</v>
      </c>
      <c r="G15" s="23" t="s">
        <v>27</v>
      </c>
      <c r="H15" s="35" t="s">
        <v>15</v>
      </c>
      <c r="I15" s="34" t="s">
        <v>338</v>
      </c>
    </row>
    <row r="16" spans="1:9" ht="42" customHeight="1" x14ac:dyDescent="0.25">
      <c r="A16" s="32" t="s">
        <v>178</v>
      </c>
      <c r="B16" s="24" t="s">
        <v>339</v>
      </c>
      <c r="C16" s="22" t="s">
        <v>75</v>
      </c>
      <c r="D16" s="24" t="s">
        <v>340</v>
      </c>
      <c r="E16" s="23" t="s">
        <v>341</v>
      </c>
      <c r="F16" s="26" t="s">
        <v>34</v>
      </c>
      <c r="G16" s="23" t="s">
        <v>35</v>
      </c>
      <c r="H16" s="35" t="s">
        <v>15</v>
      </c>
      <c r="I16" s="34" t="s">
        <v>342</v>
      </c>
    </row>
    <row r="17" spans="1:9" ht="39.75" customHeight="1" x14ac:dyDescent="0.25">
      <c r="A17" s="4" t="s">
        <v>736</v>
      </c>
      <c r="B17" s="3" t="s">
        <v>344</v>
      </c>
      <c r="C17" s="22" t="s">
        <v>75</v>
      </c>
      <c r="D17" s="24" t="s">
        <v>345</v>
      </c>
      <c r="E17" s="23" t="s">
        <v>346</v>
      </c>
      <c r="F17" s="26" t="s">
        <v>32</v>
      </c>
      <c r="G17" s="23" t="s">
        <v>33</v>
      </c>
      <c r="H17" s="37" t="s">
        <v>17</v>
      </c>
      <c r="I17" s="2" t="s">
        <v>347</v>
      </c>
    </row>
    <row r="18" spans="1:9" ht="39.75" customHeight="1" x14ac:dyDescent="0.25">
      <c r="A18" s="4"/>
      <c r="B18" s="4"/>
      <c r="C18" s="22" t="s">
        <v>94</v>
      </c>
      <c r="D18" s="24" t="s">
        <v>348</v>
      </c>
      <c r="E18" s="23" t="s">
        <v>349</v>
      </c>
      <c r="F18" s="26" t="s">
        <v>26</v>
      </c>
      <c r="G18" s="23" t="s">
        <v>27</v>
      </c>
      <c r="H18" s="37" t="s">
        <v>17</v>
      </c>
      <c r="I18" s="2"/>
    </row>
    <row r="19" spans="1:9" ht="39.75" customHeight="1" x14ac:dyDescent="0.25">
      <c r="A19" s="4"/>
      <c r="B19" s="4"/>
      <c r="C19" s="22" t="s">
        <v>100</v>
      </c>
      <c r="D19" s="24" t="s">
        <v>348</v>
      </c>
      <c r="E19" s="23" t="s">
        <v>349</v>
      </c>
      <c r="F19" s="26" t="s">
        <v>26</v>
      </c>
      <c r="G19" s="23" t="s">
        <v>27</v>
      </c>
      <c r="H19" s="37" t="s">
        <v>17</v>
      </c>
      <c r="I19" s="2"/>
    </row>
    <row r="20" spans="1:9" ht="69.75" customHeight="1" x14ac:dyDescent="0.25">
      <c r="A20" s="4" t="s">
        <v>183</v>
      </c>
      <c r="B20" s="3" t="s">
        <v>350</v>
      </c>
      <c r="C20" s="22" t="s">
        <v>75</v>
      </c>
      <c r="D20" s="24" t="s">
        <v>351</v>
      </c>
      <c r="E20" s="23" t="s">
        <v>352</v>
      </c>
      <c r="F20" s="26" t="s">
        <v>38</v>
      </c>
      <c r="G20" s="23" t="s">
        <v>39</v>
      </c>
      <c r="H20" s="33" t="s">
        <v>19</v>
      </c>
      <c r="I20" s="2" t="s">
        <v>353</v>
      </c>
    </row>
    <row r="21" spans="1:9" ht="39.75" customHeight="1" x14ac:dyDescent="0.25">
      <c r="A21" s="4"/>
      <c r="B21" s="4"/>
      <c r="C21" s="22" t="s">
        <v>100</v>
      </c>
      <c r="D21" s="24" t="s">
        <v>354</v>
      </c>
      <c r="E21" s="23" t="s">
        <v>355</v>
      </c>
      <c r="F21" s="26" t="s">
        <v>26</v>
      </c>
      <c r="G21" s="23" t="s">
        <v>27</v>
      </c>
      <c r="H21" s="33" t="s">
        <v>19</v>
      </c>
      <c r="I21" s="2"/>
    </row>
    <row r="22" spans="1:9" ht="42" customHeight="1" x14ac:dyDescent="0.25">
      <c r="A22" s="32" t="s">
        <v>186</v>
      </c>
      <c r="B22" s="24" t="s">
        <v>244</v>
      </c>
      <c r="C22" s="22" t="s">
        <v>94</v>
      </c>
      <c r="D22" s="24" t="s">
        <v>354</v>
      </c>
      <c r="E22" s="23" t="s">
        <v>356</v>
      </c>
      <c r="F22" s="26" t="s">
        <v>26</v>
      </c>
      <c r="G22" s="23" t="s">
        <v>27</v>
      </c>
      <c r="H22" s="36" t="s">
        <v>23</v>
      </c>
      <c r="I22" s="34" t="s">
        <v>357</v>
      </c>
    </row>
    <row r="23" spans="1:9" ht="42" customHeight="1" x14ac:dyDescent="0.25">
      <c r="A23" s="32" t="s">
        <v>187</v>
      </c>
      <c r="B23" s="24" t="s">
        <v>315</v>
      </c>
      <c r="C23" s="22" t="s">
        <v>75</v>
      </c>
      <c r="D23" s="24" t="s">
        <v>358</v>
      </c>
      <c r="E23" s="23" t="s">
        <v>359</v>
      </c>
      <c r="F23" s="26" t="s">
        <v>40</v>
      </c>
      <c r="G23" s="23" t="s">
        <v>41</v>
      </c>
      <c r="H23" s="36" t="s">
        <v>23</v>
      </c>
      <c r="I23" s="34" t="s">
        <v>360</v>
      </c>
    </row>
  </sheetData>
  <mergeCells count="11">
    <mergeCell ref="A17:A19"/>
    <mergeCell ref="B17:B19"/>
    <mergeCell ref="I17:I19"/>
    <mergeCell ref="A20:A21"/>
    <mergeCell ref="B20:B21"/>
    <mergeCell ref="I20:I21"/>
    <mergeCell ref="A1:I1"/>
    <mergeCell ref="A2:I2"/>
    <mergeCell ref="A5:A11"/>
    <mergeCell ref="B5:B11"/>
    <mergeCell ref="I5:I1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7"/>
  <sheetViews>
    <sheetView showGridLines="0" zoomScaleNormal="100" workbookViewId="0">
      <pane xSplit="4" ySplit="4" topLeftCell="G9" activePane="bottomRight" state="frozen"/>
      <selection pane="topRight" activeCell="G1" sqref="G1"/>
      <selection pane="bottomLeft" activeCell="A5" sqref="A5"/>
      <selection pane="bottomRight" activeCell="A2" sqref="A2:I2"/>
    </sheetView>
  </sheetViews>
  <sheetFormatPr defaultColWidth="8.5703125" defaultRowHeight="15" x14ac:dyDescent="0.25"/>
  <cols>
    <col min="1" max="1" width="32" customWidth="1"/>
    <col min="2" max="2" width="14" customWidth="1"/>
    <col min="3" max="3" width="20" customWidth="1"/>
    <col min="4" max="4" width="16" customWidth="1"/>
    <col min="5" max="5" width="62" customWidth="1"/>
    <col min="6" max="6" width="9" customWidth="1"/>
    <col min="7" max="7" width="34" customWidth="1"/>
    <col min="8" max="8" width="7" customWidth="1"/>
    <col min="9" max="9" width="50" customWidth="1"/>
  </cols>
  <sheetData>
    <row r="1" spans="1:9" ht="27.75" customHeight="1" x14ac:dyDescent="0.25">
      <c r="A1" s="12" t="s">
        <v>602</v>
      </c>
      <c r="B1" s="12"/>
      <c r="C1" s="12"/>
      <c r="D1" s="12"/>
      <c r="E1" s="12"/>
      <c r="F1" s="12"/>
      <c r="G1" s="12"/>
      <c r="H1" s="12"/>
      <c r="I1" s="12"/>
    </row>
    <row r="2" spans="1:9" ht="18" customHeight="1" x14ac:dyDescent="0.25">
      <c r="A2" s="11" t="s">
        <v>599</v>
      </c>
      <c r="B2" s="11"/>
      <c r="C2" s="11"/>
      <c r="D2" s="11"/>
      <c r="E2" s="11"/>
      <c r="F2" s="11"/>
      <c r="G2" s="11"/>
      <c r="H2" s="11"/>
      <c r="I2" s="11"/>
    </row>
    <row r="4" spans="1:9" ht="27.75" customHeight="1" x14ac:dyDescent="0.25">
      <c r="A4" s="15" t="s">
        <v>112</v>
      </c>
      <c r="B4" s="15" t="s">
        <v>214</v>
      </c>
      <c r="C4" s="15" t="s">
        <v>215</v>
      </c>
      <c r="D4" s="15" t="s">
        <v>216</v>
      </c>
      <c r="E4" s="15" t="s">
        <v>217</v>
      </c>
      <c r="F4" s="15" t="s">
        <v>218</v>
      </c>
      <c r="G4" s="15" t="s">
        <v>219</v>
      </c>
      <c r="H4" s="15" t="s">
        <v>220</v>
      </c>
      <c r="I4" s="15" t="s">
        <v>221</v>
      </c>
    </row>
    <row r="5" spans="1:9" ht="55.5" customHeight="1" x14ac:dyDescent="0.25">
      <c r="A5" s="4" t="s">
        <v>189</v>
      </c>
      <c r="B5" s="3" t="s">
        <v>361</v>
      </c>
      <c r="C5" s="22" t="s">
        <v>80</v>
      </c>
      <c r="D5" s="24" t="s">
        <v>362</v>
      </c>
      <c r="E5" s="23" t="s">
        <v>363</v>
      </c>
      <c r="F5" s="26" t="s">
        <v>314</v>
      </c>
      <c r="G5" s="23" t="s">
        <v>310</v>
      </c>
      <c r="H5" s="33" t="s">
        <v>19</v>
      </c>
      <c r="I5" s="2" t="s">
        <v>364</v>
      </c>
    </row>
    <row r="6" spans="1:9" ht="69.75" customHeight="1" x14ac:dyDescent="0.25">
      <c r="A6" s="4"/>
      <c r="B6" s="4"/>
      <c r="C6" s="22" t="s">
        <v>94</v>
      </c>
      <c r="D6" s="24" t="s">
        <v>365</v>
      </c>
      <c r="E6" s="23" t="s">
        <v>366</v>
      </c>
      <c r="F6" s="26" t="s">
        <v>30</v>
      </c>
      <c r="G6" s="23" t="s">
        <v>31</v>
      </c>
      <c r="H6" s="33" t="s">
        <v>19</v>
      </c>
      <c r="I6" s="2"/>
    </row>
    <row r="7" spans="1:9" ht="39.75" customHeight="1" x14ac:dyDescent="0.25">
      <c r="A7" s="4"/>
      <c r="B7" s="4"/>
      <c r="C7" s="22" t="s">
        <v>100</v>
      </c>
      <c r="D7" s="24" t="s">
        <v>365</v>
      </c>
      <c r="E7" s="23" t="s">
        <v>367</v>
      </c>
      <c r="F7" s="26" t="s">
        <v>30</v>
      </c>
      <c r="G7" s="23" t="s">
        <v>31</v>
      </c>
      <c r="H7" s="33" t="s">
        <v>19</v>
      </c>
      <c r="I7" s="2"/>
    </row>
    <row r="8" spans="1:9" ht="39.75" customHeight="1" x14ac:dyDescent="0.25">
      <c r="A8" s="4" t="s">
        <v>192</v>
      </c>
      <c r="B8" s="3" t="s">
        <v>368</v>
      </c>
      <c r="C8" s="22" t="s">
        <v>80</v>
      </c>
      <c r="D8" s="24" t="s">
        <v>369</v>
      </c>
      <c r="E8" s="23" t="s">
        <v>370</v>
      </c>
      <c r="F8" s="26" t="s">
        <v>314</v>
      </c>
      <c r="G8" s="23" t="s">
        <v>310</v>
      </c>
      <c r="H8" s="33" t="s">
        <v>19</v>
      </c>
      <c r="I8" s="2" t="s">
        <v>371</v>
      </c>
    </row>
    <row r="9" spans="1:9" ht="69.75" customHeight="1" x14ac:dyDescent="0.25">
      <c r="A9" s="4"/>
      <c r="B9" s="4"/>
      <c r="C9" s="22" t="s">
        <v>94</v>
      </c>
      <c r="D9" s="24" t="s">
        <v>372</v>
      </c>
      <c r="E9" s="23" t="s">
        <v>373</v>
      </c>
      <c r="F9" s="26" t="s">
        <v>30</v>
      </c>
      <c r="G9" s="23" t="s">
        <v>31</v>
      </c>
      <c r="H9" s="33" t="s">
        <v>19</v>
      </c>
      <c r="I9" s="2"/>
    </row>
    <row r="10" spans="1:9" ht="39.75" customHeight="1" x14ac:dyDescent="0.25">
      <c r="A10" s="4"/>
      <c r="B10" s="4"/>
      <c r="C10" s="22" t="s">
        <v>100</v>
      </c>
      <c r="D10" s="24" t="s">
        <v>372</v>
      </c>
      <c r="E10" s="23" t="s">
        <v>374</v>
      </c>
      <c r="F10" s="26" t="s">
        <v>30</v>
      </c>
      <c r="G10" s="23" t="s">
        <v>31</v>
      </c>
      <c r="H10" s="33" t="s">
        <v>19</v>
      </c>
      <c r="I10" s="2"/>
    </row>
    <row r="11" spans="1:9" ht="84" customHeight="1" x14ac:dyDescent="0.25">
      <c r="A11" s="4" t="s">
        <v>195</v>
      </c>
      <c r="B11" s="3" t="s">
        <v>368</v>
      </c>
      <c r="C11" s="22" t="s">
        <v>94</v>
      </c>
      <c r="D11" s="24" t="s">
        <v>375</v>
      </c>
      <c r="E11" s="23" t="s">
        <v>376</v>
      </c>
      <c r="F11" s="26" t="s">
        <v>30</v>
      </c>
      <c r="G11" s="23" t="s">
        <v>31</v>
      </c>
      <c r="H11" s="36" t="s">
        <v>23</v>
      </c>
      <c r="I11" s="2" t="s">
        <v>377</v>
      </c>
    </row>
    <row r="12" spans="1:9" ht="39.75" customHeight="1" x14ac:dyDescent="0.25">
      <c r="A12" s="4"/>
      <c r="B12" s="4"/>
      <c r="C12" s="22" t="s">
        <v>100</v>
      </c>
      <c r="D12" s="24" t="s">
        <v>375</v>
      </c>
      <c r="E12" s="23" t="s">
        <v>378</v>
      </c>
      <c r="F12" s="26" t="s">
        <v>30</v>
      </c>
      <c r="G12" s="23" t="s">
        <v>31</v>
      </c>
      <c r="H12" s="36" t="s">
        <v>23</v>
      </c>
      <c r="I12" s="2"/>
    </row>
    <row r="13" spans="1:9" ht="55.5" customHeight="1" x14ac:dyDescent="0.25">
      <c r="A13" s="4" t="s">
        <v>196</v>
      </c>
      <c r="B13" s="3" t="s">
        <v>379</v>
      </c>
      <c r="C13" s="22" t="s">
        <v>94</v>
      </c>
      <c r="D13" s="24" t="s">
        <v>380</v>
      </c>
      <c r="E13" s="23" t="s">
        <v>381</v>
      </c>
      <c r="F13" s="26" t="s">
        <v>30</v>
      </c>
      <c r="G13" s="23" t="s">
        <v>31</v>
      </c>
      <c r="H13" s="33" t="s">
        <v>19</v>
      </c>
      <c r="I13" s="2" t="s">
        <v>382</v>
      </c>
    </row>
    <row r="14" spans="1:9" ht="39.75" customHeight="1" x14ac:dyDescent="0.25">
      <c r="A14" s="4"/>
      <c r="B14" s="4"/>
      <c r="C14" s="22" t="s">
        <v>100</v>
      </c>
      <c r="D14" s="24" t="s">
        <v>380</v>
      </c>
      <c r="E14" s="23" t="s">
        <v>383</v>
      </c>
      <c r="F14" s="26" t="s">
        <v>30</v>
      </c>
      <c r="G14" s="23" t="s">
        <v>31</v>
      </c>
      <c r="H14" s="33" t="s">
        <v>19</v>
      </c>
      <c r="I14" s="2"/>
    </row>
    <row r="15" spans="1:9" ht="69.75" customHeight="1" x14ac:dyDescent="0.25">
      <c r="A15" s="4" t="s">
        <v>198</v>
      </c>
      <c r="B15" s="3" t="s">
        <v>384</v>
      </c>
      <c r="C15" s="22" t="s">
        <v>94</v>
      </c>
      <c r="D15" s="24" t="s">
        <v>385</v>
      </c>
      <c r="E15" s="23" t="s">
        <v>386</v>
      </c>
      <c r="F15" s="26" t="s">
        <v>30</v>
      </c>
      <c r="G15" s="23" t="s">
        <v>31</v>
      </c>
      <c r="H15" s="33" t="s">
        <v>19</v>
      </c>
      <c r="I15" s="2" t="s">
        <v>387</v>
      </c>
    </row>
    <row r="16" spans="1:9" ht="39.75" customHeight="1" x14ac:dyDescent="0.25">
      <c r="A16" s="4"/>
      <c r="B16" s="4"/>
      <c r="C16" s="22" t="s">
        <v>100</v>
      </c>
      <c r="D16" s="24" t="s">
        <v>385</v>
      </c>
      <c r="E16" s="23" t="s">
        <v>388</v>
      </c>
      <c r="F16" s="26" t="s">
        <v>30</v>
      </c>
      <c r="G16" s="23" t="s">
        <v>31</v>
      </c>
      <c r="H16" s="33" t="s">
        <v>19</v>
      </c>
      <c r="I16" s="2"/>
    </row>
    <row r="17" spans="1:9" ht="42" customHeight="1" x14ac:dyDescent="0.25">
      <c r="A17" s="32" t="s">
        <v>200</v>
      </c>
      <c r="B17" s="24" t="s">
        <v>389</v>
      </c>
      <c r="C17" s="22" t="s">
        <v>80</v>
      </c>
      <c r="D17" s="24" t="s">
        <v>390</v>
      </c>
      <c r="E17" s="23" t="s">
        <v>391</v>
      </c>
      <c r="F17" s="26" t="s">
        <v>36</v>
      </c>
      <c r="G17" s="23" t="s">
        <v>37</v>
      </c>
      <c r="H17" s="36" t="s">
        <v>23</v>
      </c>
      <c r="I17" s="34" t="s">
        <v>392</v>
      </c>
    </row>
  </sheetData>
  <mergeCells count="17">
    <mergeCell ref="A13:A14"/>
    <mergeCell ref="B13:B14"/>
    <mergeCell ref="I13:I14"/>
    <mergeCell ref="A15:A16"/>
    <mergeCell ref="B15:B16"/>
    <mergeCell ref="I15:I16"/>
    <mergeCell ref="A8:A10"/>
    <mergeCell ref="B8:B10"/>
    <mergeCell ref="I8:I10"/>
    <mergeCell ref="A11:A12"/>
    <mergeCell ref="B11:B12"/>
    <mergeCell ref="I11:I12"/>
    <mergeCell ref="A1:I1"/>
    <mergeCell ref="A2:I2"/>
    <mergeCell ref="A5:A7"/>
    <mergeCell ref="B5:B7"/>
    <mergeCell ref="I5:I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
  <sheetViews>
    <sheetView showGridLines="0" zoomScaleNormal="100" workbookViewId="0">
      <pane xSplit="4" ySplit="4" topLeftCell="G5" activePane="bottomRight" state="frozen"/>
      <selection pane="topRight" activeCell="G1" sqref="G1"/>
      <selection pane="bottomLeft" activeCell="A9" sqref="A9"/>
      <selection pane="bottomRight" activeCell="A5" sqref="A5"/>
    </sheetView>
  </sheetViews>
  <sheetFormatPr defaultColWidth="8.5703125" defaultRowHeight="15" x14ac:dyDescent="0.25"/>
  <cols>
    <col min="1" max="1" width="32" customWidth="1"/>
    <col min="2" max="2" width="14" customWidth="1"/>
    <col min="3" max="3" width="20" customWidth="1"/>
    <col min="4" max="4" width="16" customWidth="1"/>
    <col min="5" max="5" width="62" customWidth="1"/>
    <col min="6" max="6" width="9" customWidth="1"/>
    <col min="7" max="7" width="34" customWidth="1"/>
    <col min="8" max="8" width="7" customWidth="1"/>
    <col min="9" max="9" width="50" customWidth="1"/>
  </cols>
  <sheetData>
    <row r="1" spans="1:9" ht="27.75" customHeight="1" x14ac:dyDescent="0.25">
      <c r="A1" s="12" t="s">
        <v>603</v>
      </c>
      <c r="B1" s="12"/>
      <c r="C1" s="12"/>
      <c r="D1" s="12"/>
      <c r="E1" s="12"/>
      <c r="F1" s="12"/>
      <c r="G1" s="12"/>
      <c r="H1" s="12"/>
      <c r="I1" s="12"/>
    </row>
    <row r="2" spans="1:9" ht="18" customHeight="1" x14ac:dyDescent="0.25">
      <c r="A2" s="11" t="s">
        <v>599</v>
      </c>
      <c r="B2" s="11"/>
      <c r="C2" s="11"/>
      <c r="D2" s="11"/>
      <c r="E2" s="11"/>
      <c r="F2" s="11"/>
      <c r="G2" s="11"/>
      <c r="H2" s="11"/>
      <c r="I2" s="11"/>
    </row>
    <row r="4" spans="1:9" ht="27.75" customHeight="1" x14ac:dyDescent="0.25">
      <c r="A4" s="15" t="s">
        <v>112</v>
      </c>
      <c r="B4" s="15" t="s">
        <v>214</v>
      </c>
      <c r="C4" s="15" t="s">
        <v>215</v>
      </c>
      <c r="D4" s="15" t="s">
        <v>216</v>
      </c>
      <c r="E4" s="15" t="s">
        <v>217</v>
      </c>
      <c r="F4" s="15" t="s">
        <v>218</v>
      </c>
      <c r="G4" s="15" t="s">
        <v>219</v>
      </c>
      <c r="H4" s="15" t="s">
        <v>220</v>
      </c>
      <c r="I4" s="15" t="s">
        <v>221</v>
      </c>
    </row>
    <row r="5" spans="1:9" ht="84" customHeight="1" x14ac:dyDescent="0.25">
      <c r="A5" s="32" t="s">
        <v>737</v>
      </c>
      <c r="B5" s="24" t="s">
        <v>393</v>
      </c>
      <c r="C5" s="22" t="s">
        <v>75</v>
      </c>
      <c r="D5" s="24" t="s">
        <v>394</v>
      </c>
      <c r="E5" s="23" t="s">
        <v>395</v>
      </c>
      <c r="F5" s="26" t="s">
        <v>38</v>
      </c>
      <c r="G5" s="23" t="s">
        <v>39</v>
      </c>
      <c r="H5" s="35" t="s">
        <v>15</v>
      </c>
      <c r="I5" s="34" t="s">
        <v>396</v>
      </c>
    </row>
    <row r="6" spans="1:9" ht="42" customHeight="1" x14ac:dyDescent="0.25">
      <c r="A6" s="4" t="s">
        <v>204</v>
      </c>
      <c r="B6" s="3" t="s">
        <v>397</v>
      </c>
      <c r="C6" s="22" t="s">
        <v>75</v>
      </c>
      <c r="D6" s="24" t="s">
        <v>398</v>
      </c>
      <c r="E6" s="23" t="s">
        <v>399</v>
      </c>
      <c r="F6" s="26" t="s">
        <v>34</v>
      </c>
      <c r="G6" s="23" t="s">
        <v>35</v>
      </c>
      <c r="H6" s="33" t="s">
        <v>19</v>
      </c>
      <c r="I6" s="2" t="s">
        <v>400</v>
      </c>
    </row>
    <row r="7" spans="1:9" ht="39.75" customHeight="1" x14ac:dyDescent="0.25">
      <c r="A7" s="4"/>
      <c r="B7" s="4"/>
      <c r="C7" s="22" t="s">
        <v>94</v>
      </c>
      <c r="D7" s="24" t="s">
        <v>401</v>
      </c>
      <c r="E7" s="23" t="s">
        <v>402</v>
      </c>
      <c r="F7" s="26" t="s">
        <v>26</v>
      </c>
      <c r="G7" s="23" t="s">
        <v>27</v>
      </c>
      <c r="H7" s="33" t="s">
        <v>19</v>
      </c>
      <c r="I7" s="2"/>
    </row>
    <row r="8" spans="1:9" ht="39.75" customHeight="1" x14ac:dyDescent="0.25">
      <c r="A8" s="4"/>
      <c r="B8" s="4"/>
      <c r="C8" s="22" t="s">
        <v>100</v>
      </c>
      <c r="D8" s="24" t="s">
        <v>401</v>
      </c>
      <c r="E8" s="23" t="s">
        <v>402</v>
      </c>
      <c r="F8" s="26" t="s">
        <v>26</v>
      </c>
      <c r="G8" s="23" t="s">
        <v>27</v>
      </c>
      <c r="H8" s="33" t="s">
        <v>19</v>
      </c>
      <c r="I8" s="2"/>
    </row>
    <row r="9" spans="1:9" ht="69.75" customHeight="1" x14ac:dyDescent="0.25">
      <c r="A9" s="4" t="s">
        <v>207</v>
      </c>
      <c r="B9" s="3" t="s">
        <v>315</v>
      </c>
      <c r="C9" s="22" t="s">
        <v>75</v>
      </c>
      <c r="D9" s="24" t="s">
        <v>403</v>
      </c>
      <c r="E9" s="23" t="s">
        <v>404</v>
      </c>
      <c r="F9" s="26" t="s">
        <v>405</v>
      </c>
      <c r="G9" s="23" t="s">
        <v>310</v>
      </c>
      <c r="H9" s="33" t="s">
        <v>19</v>
      </c>
      <c r="I9" s="2" t="s">
        <v>406</v>
      </c>
    </row>
    <row r="10" spans="1:9" ht="55.5" customHeight="1" x14ac:dyDescent="0.25">
      <c r="A10" s="4"/>
      <c r="B10" s="4"/>
      <c r="C10" s="22" t="s">
        <v>94</v>
      </c>
      <c r="D10" s="24" t="s">
        <v>407</v>
      </c>
      <c r="E10" s="23" t="s">
        <v>408</v>
      </c>
      <c r="F10" s="26" t="s">
        <v>409</v>
      </c>
      <c r="G10" s="23" t="s">
        <v>310</v>
      </c>
      <c r="H10" s="33" t="s">
        <v>19</v>
      </c>
      <c r="I10" s="2"/>
    </row>
    <row r="11" spans="1:9" ht="39.75" customHeight="1" x14ac:dyDescent="0.25">
      <c r="A11" s="4"/>
      <c r="B11" s="4"/>
      <c r="C11" s="22" t="s">
        <v>100</v>
      </c>
      <c r="D11" s="24" t="s">
        <v>410</v>
      </c>
      <c r="E11" s="23" t="s">
        <v>411</v>
      </c>
      <c r="F11" s="26" t="s">
        <v>38</v>
      </c>
      <c r="G11" s="23" t="s">
        <v>39</v>
      </c>
      <c r="H11" s="33" t="s">
        <v>19</v>
      </c>
      <c r="I11" s="2"/>
    </row>
    <row r="12" spans="1:9" ht="39.75" customHeight="1" x14ac:dyDescent="0.25">
      <c r="A12" s="32" t="s">
        <v>211</v>
      </c>
      <c r="B12" s="24" t="s">
        <v>412</v>
      </c>
      <c r="C12" s="22" t="s">
        <v>75</v>
      </c>
      <c r="D12" s="24" t="s">
        <v>413</v>
      </c>
      <c r="E12" s="23" t="s">
        <v>414</v>
      </c>
      <c r="F12" s="26" t="s">
        <v>28</v>
      </c>
      <c r="G12" s="23" t="s">
        <v>29</v>
      </c>
      <c r="H12" s="36" t="s">
        <v>23</v>
      </c>
      <c r="I12" s="34" t="s">
        <v>415</v>
      </c>
    </row>
  </sheetData>
  <mergeCells count="8">
    <mergeCell ref="A9:A11"/>
    <mergeCell ref="B9:B11"/>
    <mergeCell ref="I9:I11"/>
    <mergeCell ref="A1:I1"/>
    <mergeCell ref="A2:I2"/>
    <mergeCell ref="A6:A8"/>
    <mergeCell ref="B6:B8"/>
    <mergeCell ref="I6:I8"/>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4"/>
  <sheetViews>
    <sheetView showGridLines="0" topLeftCell="A14" zoomScaleNormal="100" workbookViewId="0">
      <selection sqref="A1:D1"/>
    </sheetView>
  </sheetViews>
  <sheetFormatPr defaultColWidth="8.5703125" defaultRowHeight="15" x14ac:dyDescent="0.25"/>
  <cols>
    <col min="1" max="1" width="28" customWidth="1"/>
    <col min="2" max="2" width="34" customWidth="1"/>
    <col min="3" max="4" width="46" customWidth="1"/>
  </cols>
  <sheetData>
    <row r="1" spans="1:4" ht="27.75" customHeight="1" x14ac:dyDescent="0.25">
      <c r="A1" s="12" t="s">
        <v>604</v>
      </c>
      <c r="B1" s="12"/>
      <c r="C1" s="12"/>
      <c r="D1" s="12"/>
    </row>
    <row r="2" spans="1:4" ht="18" customHeight="1" x14ac:dyDescent="0.25">
      <c r="A2" s="11" t="s">
        <v>605</v>
      </c>
      <c r="B2" s="11"/>
      <c r="C2" s="11"/>
      <c r="D2" s="11"/>
    </row>
    <row r="4" spans="1:4" ht="15" customHeight="1" x14ac:dyDescent="0.25">
      <c r="A4" s="10" t="s">
        <v>606</v>
      </c>
      <c r="B4" s="10"/>
      <c r="C4" s="10"/>
      <c r="D4" s="10"/>
    </row>
    <row r="5" spans="1:4" ht="15" customHeight="1" x14ac:dyDescent="0.25">
      <c r="A5" s="10"/>
      <c r="B5" s="10"/>
      <c r="C5" s="10"/>
      <c r="D5" s="10"/>
    </row>
    <row r="6" spans="1:4" ht="15" customHeight="1" x14ac:dyDescent="0.25">
      <c r="A6" s="10"/>
      <c r="B6" s="10"/>
      <c r="C6" s="10"/>
      <c r="D6" s="10"/>
    </row>
    <row r="7" spans="1:4" ht="15" customHeight="1" x14ac:dyDescent="0.25">
      <c r="A7" s="10"/>
      <c r="B7" s="10"/>
      <c r="C7" s="10"/>
      <c r="D7" s="10"/>
    </row>
    <row r="9" spans="1:4" ht="15" customHeight="1" x14ac:dyDescent="0.25">
      <c r="A9" s="15" t="s">
        <v>607</v>
      </c>
      <c r="B9" s="15" t="s">
        <v>608</v>
      </c>
      <c r="C9" s="15" t="s">
        <v>609</v>
      </c>
      <c r="D9" s="15" t="s">
        <v>610</v>
      </c>
    </row>
    <row r="10" spans="1:4" ht="174.75" customHeight="1" x14ac:dyDescent="0.25">
      <c r="A10" s="22" t="s">
        <v>611</v>
      </c>
      <c r="B10" s="23" t="s">
        <v>612</v>
      </c>
      <c r="C10" s="23" t="s">
        <v>613</v>
      </c>
      <c r="D10" s="23" t="s">
        <v>614</v>
      </c>
    </row>
    <row r="11" spans="1:4" ht="174.75" customHeight="1" x14ac:dyDescent="0.25">
      <c r="A11" s="45" t="s">
        <v>615</v>
      </c>
      <c r="B11" s="23" t="s">
        <v>616</v>
      </c>
      <c r="C11" s="23" t="s">
        <v>617</v>
      </c>
      <c r="D11" s="23" t="s">
        <v>618</v>
      </c>
    </row>
    <row r="12" spans="1:4" ht="174.75" customHeight="1" x14ac:dyDescent="0.25">
      <c r="A12" s="45" t="s">
        <v>619</v>
      </c>
      <c r="B12" s="23" t="s">
        <v>620</v>
      </c>
      <c r="C12" s="23" t="s">
        <v>621</v>
      </c>
      <c r="D12" s="23" t="s">
        <v>622</v>
      </c>
    </row>
    <row r="13" spans="1:4" ht="174.75" customHeight="1" x14ac:dyDescent="0.25">
      <c r="A13" s="22" t="s">
        <v>623</v>
      </c>
      <c r="B13" s="23" t="s">
        <v>624</v>
      </c>
      <c r="C13" s="23" t="s">
        <v>625</v>
      </c>
      <c r="D13" s="23" t="s">
        <v>626</v>
      </c>
    </row>
    <row r="14" spans="1:4" ht="174.75" customHeight="1" x14ac:dyDescent="0.25">
      <c r="A14" s="45" t="s">
        <v>627</v>
      </c>
      <c r="B14" s="23" t="s">
        <v>628</v>
      </c>
      <c r="C14" s="23" t="s">
        <v>629</v>
      </c>
      <c r="D14" s="23" t="s">
        <v>630</v>
      </c>
    </row>
  </sheetData>
  <mergeCells count="3">
    <mergeCell ref="A1:D1"/>
    <mergeCell ref="A2:D2"/>
    <mergeCell ref="A4:D7"/>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7"/>
  <sheetViews>
    <sheetView showGridLines="0" zoomScaleNormal="100" workbookViewId="0">
      <pane ySplit="4" topLeftCell="A9" activePane="bottomLeft" state="frozen"/>
      <selection pane="bottomLeft" activeCell="B14" sqref="B14"/>
    </sheetView>
  </sheetViews>
  <sheetFormatPr defaultColWidth="8.5703125" defaultRowHeight="15" x14ac:dyDescent="0.25"/>
  <cols>
    <col min="1" max="1" width="10" customWidth="1"/>
    <col min="2" max="2" width="42" customWidth="1"/>
    <col min="3" max="3" width="22" customWidth="1"/>
    <col min="4" max="4" width="38" customWidth="1"/>
    <col min="5" max="5" width="44" customWidth="1"/>
  </cols>
  <sheetData>
    <row r="1" spans="1:5" ht="27.75" customHeight="1" x14ac:dyDescent="0.25">
      <c r="A1" s="12" t="s">
        <v>631</v>
      </c>
      <c r="B1" s="12"/>
      <c r="C1" s="12"/>
      <c r="D1" s="12"/>
      <c r="E1" s="12"/>
    </row>
    <row r="2" spans="1:5" ht="18" customHeight="1" x14ac:dyDescent="0.25">
      <c r="A2" s="11" t="s">
        <v>632</v>
      </c>
      <c r="B2" s="11"/>
      <c r="C2" s="11"/>
      <c r="D2" s="11"/>
      <c r="E2" s="11"/>
    </row>
    <row r="4" spans="1:5" ht="27.75" customHeight="1" x14ac:dyDescent="0.25">
      <c r="A4" s="15" t="s">
        <v>214</v>
      </c>
      <c r="B4" s="15" t="s">
        <v>112</v>
      </c>
      <c r="C4" s="15" t="s">
        <v>633</v>
      </c>
      <c r="D4" s="15" t="s">
        <v>634</v>
      </c>
      <c r="E4" s="15" t="s">
        <v>635</v>
      </c>
    </row>
    <row r="5" spans="1:5" ht="57.75" customHeight="1" x14ac:dyDescent="0.25">
      <c r="A5" s="21" t="s">
        <v>344</v>
      </c>
      <c r="B5" s="22" t="s">
        <v>636</v>
      </c>
      <c r="C5" s="24" t="s">
        <v>637</v>
      </c>
      <c r="D5" s="23" t="s">
        <v>638</v>
      </c>
      <c r="E5" s="23" t="s">
        <v>639</v>
      </c>
    </row>
    <row r="6" spans="1:5" ht="57.75" customHeight="1" x14ac:dyDescent="0.25">
      <c r="A6" s="21" t="s">
        <v>339</v>
      </c>
      <c r="B6" s="22" t="s">
        <v>640</v>
      </c>
      <c r="C6" s="24" t="s">
        <v>641</v>
      </c>
      <c r="D6" s="23" t="s">
        <v>642</v>
      </c>
      <c r="E6" s="23"/>
    </row>
    <row r="7" spans="1:5" ht="57.75" customHeight="1" x14ac:dyDescent="0.25">
      <c r="A7" s="21" t="s">
        <v>335</v>
      </c>
      <c r="B7" s="22" t="s">
        <v>643</v>
      </c>
      <c r="C7" s="24" t="s">
        <v>644</v>
      </c>
      <c r="D7" s="23" t="s">
        <v>645</v>
      </c>
      <c r="E7" s="23"/>
    </row>
    <row r="8" spans="1:5" ht="57.75" customHeight="1" x14ac:dyDescent="0.25">
      <c r="A8" s="21" t="s">
        <v>321</v>
      </c>
      <c r="B8" s="22" t="s">
        <v>738</v>
      </c>
      <c r="C8" s="24" t="s">
        <v>646</v>
      </c>
      <c r="D8" s="23" t="s">
        <v>647</v>
      </c>
      <c r="E8" s="23" t="s">
        <v>648</v>
      </c>
    </row>
    <row r="9" spans="1:5" ht="57.75" customHeight="1" x14ac:dyDescent="0.25">
      <c r="A9" s="21" t="s">
        <v>325</v>
      </c>
      <c r="B9" s="22" t="s">
        <v>649</v>
      </c>
      <c r="C9" s="24" t="s">
        <v>650</v>
      </c>
      <c r="D9" s="23" t="s">
        <v>651</v>
      </c>
      <c r="E9" s="23"/>
    </row>
    <row r="10" spans="1:5" ht="57.75" customHeight="1" x14ac:dyDescent="0.25">
      <c r="A10" s="21" t="s">
        <v>328</v>
      </c>
      <c r="B10" s="22" t="s">
        <v>652</v>
      </c>
      <c r="C10" s="24" t="s">
        <v>653</v>
      </c>
      <c r="D10" s="23" t="s">
        <v>654</v>
      </c>
      <c r="E10" s="23"/>
    </row>
    <row r="11" spans="1:5" ht="57.75" customHeight="1" x14ac:dyDescent="0.25">
      <c r="A11" s="21" t="s">
        <v>331</v>
      </c>
      <c r="B11" s="22" t="s">
        <v>655</v>
      </c>
      <c r="C11" s="24" t="s">
        <v>656</v>
      </c>
      <c r="D11" s="23" t="s">
        <v>657</v>
      </c>
      <c r="E11" s="23"/>
    </row>
    <row r="12" spans="1:5" ht="57.75" customHeight="1" x14ac:dyDescent="0.25">
      <c r="A12" s="21" t="s">
        <v>230</v>
      </c>
      <c r="B12" s="22" t="s">
        <v>658</v>
      </c>
      <c r="C12" s="24" t="s">
        <v>659</v>
      </c>
      <c r="D12" s="23" t="s">
        <v>660</v>
      </c>
      <c r="E12" s="23" t="s">
        <v>661</v>
      </c>
    </row>
    <row r="13" spans="1:5" ht="57.75" customHeight="1" x14ac:dyDescent="0.25">
      <c r="A13" s="21" t="s">
        <v>662</v>
      </c>
      <c r="B13" s="22" t="s">
        <v>663</v>
      </c>
      <c r="C13" s="24" t="s">
        <v>664</v>
      </c>
      <c r="D13" s="23" t="s">
        <v>665</v>
      </c>
      <c r="E13" s="23" t="s">
        <v>666</v>
      </c>
    </row>
    <row r="14" spans="1:5" ht="57.75" customHeight="1" x14ac:dyDescent="0.25">
      <c r="A14" s="21" t="s">
        <v>393</v>
      </c>
      <c r="B14" s="22" t="s">
        <v>739</v>
      </c>
      <c r="C14" s="24" t="s">
        <v>667</v>
      </c>
      <c r="D14" s="23" t="s">
        <v>668</v>
      </c>
      <c r="E14" s="23" t="s">
        <v>669</v>
      </c>
    </row>
    <row r="15" spans="1:5" ht="57.75" customHeight="1" x14ac:dyDescent="0.25">
      <c r="A15" s="21" t="s">
        <v>397</v>
      </c>
      <c r="B15" s="22" t="s">
        <v>670</v>
      </c>
      <c r="C15" s="24" t="s">
        <v>671</v>
      </c>
      <c r="D15" s="23" t="s">
        <v>672</v>
      </c>
      <c r="E15" s="23"/>
    </row>
    <row r="16" spans="1:5" ht="57.75" customHeight="1" x14ac:dyDescent="0.25">
      <c r="A16" s="21" t="s">
        <v>270</v>
      </c>
      <c r="B16" s="22" t="s">
        <v>673</v>
      </c>
      <c r="C16" s="24" t="s">
        <v>674</v>
      </c>
      <c r="D16" s="23" t="s">
        <v>675</v>
      </c>
      <c r="E16" s="23"/>
    </row>
    <row r="17" spans="1:5" ht="57.75" customHeight="1" x14ac:dyDescent="0.25">
      <c r="A17" s="21" t="s">
        <v>287</v>
      </c>
      <c r="B17" s="22" t="s">
        <v>676</v>
      </c>
      <c r="C17" s="24" t="s">
        <v>677</v>
      </c>
      <c r="D17" s="23" t="s">
        <v>678</v>
      </c>
      <c r="E17" s="23"/>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
  <sheetViews>
    <sheetView showGridLines="0" topLeftCell="A34" zoomScaleNormal="100" workbookViewId="0">
      <selection activeCell="A4" sqref="A4:H6"/>
    </sheetView>
  </sheetViews>
  <sheetFormatPr defaultColWidth="8.5703125" defaultRowHeight="15" x14ac:dyDescent="0.25"/>
  <cols>
    <col min="1" max="1" width="26" customWidth="1"/>
    <col min="2" max="8" width="14" customWidth="1"/>
  </cols>
  <sheetData>
    <row r="1" spans="1:8" ht="27.75" customHeight="1" x14ac:dyDescent="0.25">
      <c r="A1" s="12" t="s">
        <v>679</v>
      </c>
      <c r="B1" s="12"/>
      <c r="C1" s="12"/>
      <c r="D1" s="12"/>
      <c r="E1" s="12"/>
      <c r="F1" s="12"/>
      <c r="G1" s="12"/>
      <c r="H1" s="12"/>
    </row>
    <row r="2" spans="1:8" ht="18" customHeight="1" x14ac:dyDescent="0.25">
      <c r="A2" s="11" t="s">
        <v>680</v>
      </c>
      <c r="B2" s="11"/>
      <c r="C2" s="11"/>
      <c r="D2" s="11"/>
      <c r="E2" s="11"/>
      <c r="F2" s="11"/>
      <c r="G2" s="11"/>
      <c r="H2" s="11"/>
    </row>
    <row r="4" spans="1:8" ht="15" customHeight="1" x14ac:dyDescent="0.25">
      <c r="A4" s="10" t="s">
        <v>681</v>
      </c>
      <c r="B4" s="10"/>
      <c r="C4" s="10"/>
      <c r="D4" s="10"/>
      <c r="E4" s="10"/>
      <c r="F4" s="10"/>
      <c r="G4" s="10"/>
      <c r="H4" s="10"/>
    </row>
    <row r="5" spans="1:8" ht="15" customHeight="1" x14ac:dyDescent="0.25">
      <c r="A5" s="10"/>
      <c r="B5" s="10"/>
      <c r="C5" s="10"/>
      <c r="D5" s="10"/>
      <c r="E5" s="10"/>
      <c r="F5" s="10"/>
      <c r="G5" s="10"/>
      <c r="H5" s="10"/>
    </row>
    <row r="6" spans="1:8" ht="15" customHeight="1" x14ac:dyDescent="0.25">
      <c r="A6" s="10"/>
      <c r="B6" s="10"/>
      <c r="C6" s="10"/>
      <c r="D6" s="10"/>
      <c r="E6" s="10"/>
      <c r="F6" s="10"/>
      <c r="G6" s="10"/>
      <c r="H6" s="10"/>
    </row>
    <row r="8" spans="1:8" ht="36" customHeight="1" x14ac:dyDescent="0.25">
      <c r="A8" s="15" t="s">
        <v>215</v>
      </c>
      <c r="B8" s="15" t="s">
        <v>682</v>
      </c>
      <c r="C8" s="15" t="s">
        <v>683</v>
      </c>
      <c r="D8" s="15" t="s">
        <v>684</v>
      </c>
      <c r="E8" s="15" t="s">
        <v>685</v>
      </c>
      <c r="F8" s="15" t="s">
        <v>686</v>
      </c>
      <c r="G8" s="15" t="s">
        <v>687</v>
      </c>
      <c r="H8" s="15" t="s">
        <v>688</v>
      </c>
    </row>
    <row r="9" spans="1:8" ht="15" customHeight="1" x14ac:dyDescent="0.25">
      <c r="A9" s="22" t="s">
        <v>75</v>
      </c>
      <c r="B9" s="35">
        <v>8</v>
      </c>
      <c r="C9" s="37">
        <v>3</v>
      </c>
      <c r="D9" s="33">
        <v>7</v>
      </c>
      <c r="E9" s="38">
        <v>0</v>
      </c>
      <c r="F9" s="26">
        <v>19</v>
      </c>
      <c r="G9" s="26">
        <v>37</v>
      </c>
      <c r="H9" s="46">
        <f t="shared" ref="H9:H15" si="0">(B9+C9+D9)/G9</f>
        <v>0.48648648648648651</v>
      </c>
    </row>
    <row r="10" spans="1:8" ht="15" customHeight="1" x14ac:dyDescent="0.25">
      <c r="A10" s="22" t="s">
        <v>80</v>
      </c>
      <c r="B10" s="35">
        <v>0</v>
      </c>
      <c r="C10" s="37">
        <v>0</v>
      </c>
      <c r="D10" s="33">
        <v>5</v>
      </c>
      <c r="E10" s="38">
        <v>0</v>
      </c>
      <c r="F10" s="26">
        <v>32</v>
      </c>
      <c r="G10" s="26">
        <v>37</v>
      </c>
      <c r="H10" s="46">
        <f t="shared" si="0"/>
        <v>0.13513513513513514</v>
      </c>
    </row>
    <row r="11" spans="1:8" ht="15" customHeight="1" x14ac:dyDescent="0.25">
      <c r="A11" s="22" t="s">
        <v>84</v>
      </c>
      <c r="B11" s="35">
        <v>2</v>
      </c>
      <c r="C11" s="37">
        <v>0</v>
      </c>
      <c r="D11" s="33">
        <v>2</v>
      </c>
      <c r="E11" s="38">
        <v>1</v>
      </c>
      <c r="F11" s="26">
        <v>32</v>
      </c>
      <c r="G11" s="26">
        <v>37</v>
      </c>
      <c r="H11" s="46">
        <f t="shared" si="0"/>
        <v>0.10810810810810811</v>
      </c>
    </row>
    <row r="12" spans="1:8" ht="15" customHeight="1" x14ac:dyDescent="0.25">
      <c r="A12" s="22" t="s">
        <v>89</v>
      </c>
      <c r="B12" s="35">
        <v>2</v>
      </c>
      <c r="C12" s="37">
        <v>0</v>
      </c>
      <c r="D12" s="33">
        <v>2</v>
      </c>
      <c r="E12" s="38">
        <v>0</v>
      </c>
      <c r="F12" s="26">
        <v>33</v>
      </c>
      <c r="G12" s="26">
        <v>37</v>
      </c>
      <c r="H12" s="46">
        <f t="shared" si="0"/>
        <v>0.10810810810810811</v>
      </c>
    </row>
    <row r="13" spans="1:8" ht="15" customHeight="1" x14ac:dyDescent="0.25">
      <c r="A13" s="22" t="s">
        <v>94</v>
      </c>
      <c r="B13" s="35">
        <v>1</v>
      </c>
      <c r="C13" s="37">
        <v>3</v>
      </c>
      <c r="D13" s="33">
        <v>11</v>
      </c>
      <c r="E13" s="38">
        <v>0</v>
      </c>
      <c r="F13" s="26">
        <v>22</v>
      </c>
      <c r="G13" s="26">
        <v>37</v>
      </c>
      <c r="H13" s="46">
        <f t="shared" si="0"/>
        <v>0.40540540540540543</v>
      </c>
    </row>
    <row r="14" spans="1:8" ht="15" customHeight="1" x14ac:dyDescent="0.25">
      <c r="A14" s="22" t="s">
        <v>100</v>
      </c>
      <c r="B14" s="35">
        <v>1</v>
      </c>
      <c r="C14" s="37">
        <v>3</v>
      </c>
      <c r="D14" s="33">
        <v>12</v>
      </c>
      <c r="E14" s="38">
        <v>0</v>
      </c>
      <c r="F14" s="26">
        <v>21</v>
      </c>
      <c r="G14" s="26">
        <v>37</v>
      </c>
      <c r="H14" s="46">
        <f t="shared" si="0"/>
        <v>0.43243243243243246</v>
      </c>
    </row>
    <row r="15" spans="1:8" ht="15" customHeight="1" x14ac:dyDescent="0.25">
      <c r="A15" s="22" t="s">
        <v>104</v>
      </c>
      <c r="B15" s="35">
        <v>0</v>
      </c>
      <c r="C15" s="37">
        <v>2</v>
      </c>
      <c r="D15" s="33">
        <v>6</v>
      </c>
      <c r="E15" s="38">
        <v>0</v>
      </c>
      <c r="F15" s="26">
        <v>29</v>
      </c>
      <c r="G15" s="26">
        <v>37</v>
      </c>
      <c r="H15" s="46">
        <f t="shared" si="0"/>
        <v>0.21621621621621623</v>
      </c>
    </row>
    <row r="18" spans="1:1" ht="15" customHeight="1" x14ac:dyDescent="0.25">
      <c r="A18" s="13" t="s">
        <v>689</v>
      </c>
    </row>
  </sheetData>
  <mergeCells count="3">
    <mergeCell ref="A1:H1"/>
    <mergeCell ref="A2:H2"/>
    <mergeCell ref="A4:H6"/>
  </mergeCells>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5"/>
  <sheetViews>
    <sheetView showGridLines="0" zoomScaleNormal="100" workbookViewId="0">
      <selection sqref="A1:D1"/>
    </sheetView>
  </sheetViews>
  <sheetFormatPr defaultColWidth="8.5703125" defaultRowHeight="15" x14ac:dyDescent="0.25"/>
  <cols>
    <col min="1" max="1" width="5" customWidth="1"/>
    <col min="2" max="2" width="28" customWidth="1"/>
    <col min="3" max="3" width="52" customWidth="1"/>
    <col min="4" max="4" width="58" customWidth="1"/>
  </cols>
  <sheetData>
    <row r="1" spans="1:4" ht="27.75" customHeight="1" x14ac:dyDescent="0.25">
      <c r="A1" s="12" t="s">
        <v>690</v>
      </c>
      <c r="B1" s="12"/>
      <c r="C1" s="12"/>
      <c r="D1" s="12"/>
    </row>
    <row r="2" spans="1:4" ht="18" customHeight="1" x14ac:dyDescent="0.25">
      <c r="A2" s="11" t="s">
        <v>691</v>
      </c>
      <c r="B2" s="11"/>
      <c r="C2" s="11"/>
      <c r="D2" s="11"/>
    </row>
    <row r="4" spans="1:4" ht="15" customHeight="1" x14ac:dyDescent="0.25">
      <c r="A4" s="15" t="s">
        <v>692</v>
      </c>
      <c r="B4" s="15" t="s">
        <v>693</v>
      </c>
      <c r="C4" s="15" t="s">
        <v>694</v>
      </c>
      <c r="D4" s="15" t="s">
        <v>695</v>
      </c>
    </row>
    <row r="5" spans="1:4" ht="165" customHeight="1" x14ac:dyDescent="0.25">
      <c r="A5" s="21">
        <v>1</v>
      </c>
      <c r="B5" s="22" t="s">
        <v>696</v>
      </c>
      <c r="C5" s="23" t="s">
        <v>697</v>
      </c>
      <c r="D5" s="23" t="s">
        <v>698</v>
      </c>
    </row>
    <row r="6" spans="1:4" ht="165" customHeight="1" x14ac:dyDescent="0.25">
      <c r="A6" s="21">
        <v>2</v>
      </c>
      <c r="B6" s="22" t="s">
        <v>699</v>
      </c>
      <c r="C6" s="23" t="s">
        <v>700</v>
      </c>
      <c r="D6" s="23" t="s">
        <v>701</v>
      </c>
    </row>
    <row r="7" spans="1:4" ht="165" customHeight="1" x14ac:dyDescent="0.25">
      <c r="A7" s="21">
        <v>3</v>
      </c>
      <c r="B7" s="22" t="s">
        <v>702</v>
      </c>
      <c r="C7" s="23" t="s">
        <v>703</v>
      </c>
      <c r="D7" s="23" t="s">
        <v>704</v>
      </c>
    </row>
    <row r="8" spans="1:4" ht="165" customHeight="1" x14ac:dyDescent="0.25">
      <c r="A8" s="21">
        <v>4</v>
      </c>
      <c r="B8" s="22" t="s">
        <v>705</v>
      </c>
      <c r="C8" s="23" t="s">
        <v>706</v>
      </c>
      <c r="D8" s="23" t="s">
        <v>707</v>
      </c>
    </row>
    <row r="9" spans="1:4" ht="165" customHeight="1" x14ac:dyDescent="0.25">
      <c r="A9" s="21">
        <v>5</v>
      </c>
      <c r="B9" s="22" t="s">
        <v>708</v>
      </c>
      <c r="C9" s="23" t="s">
        <v>709</v>
      </c>
      <c r="D9" s="23" t="s">
        <v>710</v>
      </c>
    </row>
    <row r="10" spans="1:4" ht="165" customHeight="1" x14ac:dyDescent="0.25">
      <c r="A10" s="21">
        <v>6</v>
      </c>
      <c r="B10" s="22" t="s">
        <v>711</v>
      </c>
      <c r="C10" s="23" t="s">
        <v>712</v>
      </c>
      <c r="D10" s="23" t="s">
        <v>713</v>
      </c>
    </row>
    <row r="11" spans="1:4" ht="165" customHeight="1" x14ac:dyDescent="0.25">
      <c r="A11" s="21">
        <v>7</v>
      </c>
      <c r="B11" s="22" t="s">
        <v>714</v>
      </c>
      <c r="C11" s="23" t="s">
        <v>715</v>
      </c>
      <c r="D11" s="23" t="s">
        <v>716</v>
      </c>
    </row>
    <row r="12" spans="1:4" ht="165" customHeight="1" x14ac:dyDescent="0.25">
      <c r="A12" s="21">
        <v>8</v>
      </c>
      <c r="B12" s="22" t="s">
        <v>717</v>
      </c>
      <c r="C12" s="23" t="s">
        <v>718</v>
      </c>
      <c r="D12" s="23" t="s">
        <v>719</v>
      </c>
    </row>
    <row r="13" spans="1:4" ht="165" customHeight="1" x14ac:dyDescent="0.25">
      <c r="A13" s="21">
        <v>9</v>
      </c>
      <c r="B13" s="22" t="s">
        <v>720</v>
      </c>
      <c r="C13" s="23" t="s">
        <v>721</v>
      </c>
      <c r="D13" s="23" t="s">
        <v>722</v>
      </c>
    </row>
    <row r="14" spans="1:4" ht="165" customHeight="1" x14ac:dyDescent="0.25">
      <c r="A14" s="21">
        <v>10</v>
      </c>
      <c r="B14" s="22" t="s">
        <v>723</v>
      </c>
      <c r="C14" s="23" t="s">
        <v>724</v>
      </c>
      <c r="D14" s="23" t="s">
        <v>725</v>
      </c>
    </row>
    <row r="15" spans="1:4" ht="165" customHeight="1" x14ac:dyDescent="0.25">
      <c r="A15" s="21">
        <v>11</v>
      </c>
      <c r="B15" s="22" t="s">
        <v>726</v>
      </c>
      <c r="C15" s="23" t="s">
        <v>727</v>
      </c>
      <c r="D15" s="23" t="s">
        <v>728</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 README - Methodology</vt:lpstr>
      <vt:lpstr>2. Instrument Key</vt:lpstr>
      <vt:lpstr>3. Construct Matrix</vt:lpstr>
      <vt:lpstr>4. Item Detail - All Domains</vt:lpstr>
      <vt:lpstr>5. Gap Analysis</vt:lpstr>
      <vt:lpstr>6. Shared Metric Candidates</vt:lpstr>
      <vt:lpstr>7. District Context</vt:lpstr>
      <vt:lpstr>8a. Adult &amp; Peer Connections</vt:lpstr>
      <vt:lpstr>8b. Belonging Climate Safety</vt:lpstr>
      <vt:lpstr>8c. Mental Health Stress Risk</vt:lpstr>
      <vt:lpstr>8d. SEL Competencies</vt:lpstr>
      <vt:lpstr>8e. Equity Basic Needs</vt:lpstr>
      <vt:lpstr>9. Scale Equivalence</vt:lpstr>
      <vt:lpstr>10. HKCS Baseline 2023</vt:lpstr>
      <vt:lpstr>11. Coverage Dashboard</vt:lpstr>
      <vt:lpstr>12. Verification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Selorm Buaka</cp:lastModifiedBy>
  <cp:revision>3</cp:revision>
  <dcterms:created xsi:type="dcterms:W3CDTF">2026-07-21T20:38:45Z</dcterms:created>
  <dcterms:modified xsi:type="dcterms:W3CDTF">2026-07-31T15:07:48Z</dcterms:modified>
  <dc:language>en-US</dc:language>
</cp:coreProperties>
</file>